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fptsoftware362.sharepoint.com/sites/msteams_09b263/DocLib3/00_管理/FY25アカウントプラン/"/>
    </mc:Choice>
  </mc:AlternateContent>
  <xr:revisionPtr revIDLastSave="1487" documentId="8_{1FCCFC1B-E668-458C-BB01-F0EFD027B571}" xr6:coauthVersionLast="47" xr6:coauthVersionMax="47" xr10:uidLastSave="{7E132045-054E-4A8C-B08E-BCCC4BF42428}"/>
  <bookViews>
    <workbookView minimized="1" xWindow="760" yWindow="760" windowWidth="14400" windowHeight="7270" activeTab="1" xr2:uid="{00000000-000D-0000-FFFF-FFFF00000000}"/>
  </bookViews>
  <sheets>
    <sheet name="まとめ" sheetId="8" r:id="rId1"/>
    <sheet name="フォロー状況" sheetId="1" r:id="rId2"/>
    <sheet name="FY26フォロー状況" sheetId="11" r:id="rId3"/>
    <sheet name="Plan1.2まとめ" sheetId="7" r:id="rId4"/>
    <sheet name="Plan1.2" sheetId="6" r:id="rId5"/>
    <sheet name="250903" sheetId="5" r:id="rId6"/>
    <sheet name="チーム別PreSales" sheetId="10" r:id="rId7"/>
    <sheet name="PreSales" sheetId="9" r:id="rId8"/>
    <sheet name="Sheet1" sheetId="2" state="hidden" r:id="rId9"/>
  </sheets>
  <definedNames>
    <definedName name="_xlnm._FilterDatabase" localSheetId="2" hidden="1">FY26フォロー状況!$A$1:$AC$84</definedName>
    <definedName name="_xlnm._FilterDatabase" localSheetId="4" hidden="1">Plan1.2!$A$1:$R$57</definedName>
    <definedName name="_xlnm._FilterDatabase" localSheetId="1" hidden="1">フォロー状況!$A$1:$FB$87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O51" i="1" l="1"/>
  <c r="EQ51" i="1" s="1"/>
  <c r="EM72" i="1"/>
  <c r="EO72" i="1" s="1"/>
  <c r="EQ72" i="1" s="1"/>
  <c r="EO75" i="1"/>
  <c r="EQ75" i="1" s="1"/>
  <c r="O26" i="1"/>
  <c r="AI11" i="11"/>
  <c r="AG5" i="11" s="1"/>
  <c r="Y76" i="11"/>
  <c r="Y75" i="11"/>
  <c r="AA75" i="11" s="1"/>
  <c r="Y74" i="11"/>
  <c r="Y73" i="11"/>
  <c r="AA73" i="11" s="1"/>
  <c r="Y72" i="11"/>
  <c r="AA72" i="11" s="1"/>
  <c r="Y71" i="11"/>
  <c r="AA71" i="11" s="1"/>
  <c r="Y70" i="11"/>
  <c r="Y69" i="11"/>
  <c r="Y68" i="11"/>
  <c r="Y67" i="11"/>
  <c r="AA67" i="11" s="1"/>
  <c r="Y66" i="11"/>
  <c r="Y65" i="11"/>
  <c r="AA65" i="11" s="1"/>
  <c r="Y64" i="11"/>
  <c r="AA64" i="11" s="1"/>
  <c r="Y63" i="11"/>
  <c r="AA63" i="11" s="1"/>
  <c r="Y62" i="11"/>
  <c r="AA62" i="11" s="1"/>
  <c r="Y61" i="11"/>
  <c r="AA61" i="11" s="1"/>
  <c r="Y60" i="11"/>
  <c r="AA60" i="11" s="1"/>
  <c r="Y59" i="11"/>
  <c r="Y58" i="11"/>
  <c r="Y57" i="11"/>
  <c r="AA57" i="11" s="1"/>
  <c r="Y56" i="11"/>
  <c r="Y55" i="11"/>
  <c r="Y54" i="11"/>
  <c r="Y53" i="11"/>
  <c r="Y52" i="11"/>
  <c r="AA52" i="11" s="1"/>
  <c r="Y51" i="11"/>
  <c r="Y50" i="11"/>
  <c r="AA50" i="11" s="1"/>
  <c r="Y49" i="11"/>
  <c r="AA49" i="11" s="1"/>
  <c r="Y48" i="11"/>
  <c r="AA48" i="11" s="1"/>
  <c r="Y47" i="11"/>
  <c r="AA47" i="11" s="1"/>
  <c r="Y46" i="11"/>
  <c r="AA46" i="11" s="1"/>
  <c r="Y45" i="11"/>
  <c r="Y44" i="11"/>
  <c r="Y43" i="11"/>
  <c r="AA43" i="11" s="1"/>
  <c r="Y42" i="11"/>
  <c r="AA42" i="11" s="1"/>
  <c r="Y41" i="11"/>
  <c r="AA41" i="11" s="1"/>
  <c r="Y40" i="11"/>
  <c r="AA40" i="11" s="1"/>
  <c r="Y39" i="11"/>
  <c r="AA39" i="11" s="1"/>
  <c r="Y38" i="11"/>
  <c r="AA38" i="11" s="1"/>
  <c r="Y37" i="11"/>
  <c r="AA37" i="11" s="1"/>
  <c r="Y36" i="11"/>
  <c r="AA36" i="11" s="1"/>
  <c r="Y35" i="11"/>
  <c r="AA35" i="11" s="1"/>
  <c r="Y34" i="11"/>
  <c r="AA34" i="11" s="1"/>
  <c r="Y33" i="11"/>
  <c r="Y32" i="11"/>
  <c r="AA32" i="11" s="1"/>
  <c r="Y31" i="11"/>
  <c r="AA31" i="11" s="1"/>
  <c r="Y30" i="11"/>
  <c r="AA30" i="11" s="1"/>
  <c r="Y29" i="11"/>
  <c r="Y28" i="11"/>
  <c r="Y27" i="11"/>
  <c r="AA27" i="11" s="1"/>
  <c r="Y26" i="11"/>
  <c r="Y25" i="11"/>
  <c r="AA25" i="11" s="1"/>
  <c r="Y24" i="11"/>
  <c r="AA24" i="11" s="1"/>
  <c r="Y23" i="11"/>
  <c r="AA23" i="11" s="1"/>
  <c r="Y22" i="11"/>
  <c r="AA22" i="11" s="1"/>
  <c r="Y21" i="11"/>
  <c r="AA21" i="11" s="1"/>
  <c r="Y20" i="11"/>
  <c r="Y19" i="11"/>
  <c r="Y18" i="11"/>
  <c r="AA18" i="11" s="1"/>
  <c r="Y17" i="11"/>
  <c r="AA17" i="11" s="1"/>
  <c r="Y16" i="11"/>
  <c r="AA16" i="11" s="1"/>
  <c r="Y15" i="11"/>
  <c r="AA15" i="11" s="1"/>
  <c r="Y14" i="11"/>
  <c r="AA14" i="11" s="1"/>
  <c r="Y13" i="11"/>
  <c r="AA13" i="11" s="1"/>
  <c r="Y12" i="11"/>
  <c r="AA12" i="11" s="1"/>
  <c r="Y11" i="11"/>
  <c r="AA11" i="11" s="1"/>
  <c r="Y10" i="11"/>
  <c r="Y9" i="11"/>
  <c r="AA9" i="11" s="1"/>
  <c r="Y8" i="11"/>
  <c r="AA8" i="11" s="1"/>
  <c r="Y7" i="11"/>
  <c r="AA7" i="11" s="1"/>
  <c r="Y6" i="11"/>
  <c r="Y5" i="11"/>
  <c r="AA5" i="11" s="1"/>
  <c r="K76" i="11"/>
  <c r="J76" i="11"/>
  <c r="I76" i="11"/>
  <c r="K70" i="11"/>
  <c r="J70" i="11"/>
  <c r="I70" i="11"/>
  <c r="K66" i="11"/>
  <c r="J66" i="11"/>
  <c r="K59" i="11"/>
  <c r="J59" i="11"/>
  <c r="K54" i="11"/>
  <c r="J54" i="11"/>
  <c r="I54" i="11"/>
  <c r="AJ78" i="11"/>
  <c r="Y3" i="11"/>
  <c r="AA69" i="11"/>
  <c r="AA68" i="11"/>
  <c r="AI59" i="11"/>
  <c r="AA58" i="11"/>
  <c r="AA56" i="11"/>
  <c r="AA55" i="11"/>
  <c r="AA45" i="11"/>
  <c r="AA44" i="11"/>
  <c r="AI37" i="11"/>
  <c r="AI34" i="11"/>
  <c r="AA33" i="11"/>
  <c r="AA20" i="11"/>
  <c r="AA19" i="11"/>
  <c r="AI10" i="11"/>
  <c r="AA10" i="11"/>
  <c r="AI9" i="11"/>
  <c r="AI7" i="11"/>
  <c r="Z3" i="11"/>
  <c r="FI80" i="1"/>
  <c r="EP3" i="1"/>
  <c r="EW29" i="1"/>
  <c r="EW55" i="1"/>
  <c r="EW5" i="1"/>
  <c r="FA34" i="1"/>
  <c r="M36" i="8"/>
  <c r="Q4" i="1"/>
  <c r="J3" i="8"/>
  <c r="J17" i="8" s="1"/>
  <c r="DG67" i="1"/>
  <c r="EM67" i="1"/>
  <c r="E6" i="10"/>
  <c r="E5" i="10"/>
  <c r="E4" i="10"/>
  <c r="AI13" i="11" l="1"/>
  <c r="J4" i="11"/>
  <c r="K4" i="11"/>
  <c r="I4" i="11"/>
  <c r="AA3" i="11"/>
  <c r="AI33" i="11"/>
  <c r="AA76" i="11"/>
  <c r="AA70" i="11"/>
  <c r="AI73" i="11"/>
  <c r="AA29" i="11"/>
  <c r="AI8" i="11"/>
  <c r="AI57" i="11"/>
  <c r="AA54" i="11"/>
  <c r="AI32" i="11"/>
  <c r="AI30" i="11"/>
  <c r="AI58" i="11"/>
  <c r="AI72" i="11" s="1"/>
  <c r="AA66" i="11"/>
  <c r="AA59" i="11"/>
  <c r="AI56" i="11"/>
  <c r="AA6" i="11"/>
  <c r="AI6" i="11"/>
  <c r="AI31" i="11"/>
  <c r="AA53" i="11"/>
  <c r="AA28" i="11"/>
  <c r="FH13" i="1"/>
  <c r="E7" i="10"/>
  <c r="FH37" i="1"/>
  <c r="FH63" i="1"/>
  <c r="EO47" i="1"/>
  <c r="EQ47" i="1" s="1"/>
  <c r="EM79" i="1"/>
  <c r="DG79" i="1"/>
  <c r="FH78" i="1" l="1"/>
  <c r="EO3" i="1" s="1"/>
  <c r="EQ3" i="1" s="1"/>
  <c r="AI55" i="11"/>
  <c r="AI60" i="11" s="1"/>
  <c r="AI35" i="11"/>
  <c r="AI39" i="11" s="1"/>
  <c r="AG30" i="11" s="1"/>
  <c r="Y4" i="11"/>
  <c r="AA4" i="11" s="1"/>
  <c r="AI70" i="11"/>
  <c r="AI71" i="11"/>
  <c r="EO48" i="1"/>
  <c r="EQ48" i="1" s="1"/>
  <c r="EM60" i="1"/>
  <c r="DG60" i="1"/>
  <c r="AI69" i="11" l="1"/>
  <c r="AI74" i="11" s="1"/>
  <c r="AI78" i="11" s="1"/>
  <c r="AG68" i="11" s="1"/>
  <c r="AG29" i="11"/>
  <c r="AI64" i="11"/>
  <c r="AG55" i="11" s="1"/>
  <c r="AG54" i="11"/>
  <c r="AI15" i="11"/>
  <c r="AG6" i="11" s="1"/>
  <c r="FH34" i="1"/>
  <c r="FH60" i="1"/>
  <c r="FH10" i="1"/>
  <c r="FH9" i="1"/>
  <c r="FH7" i="1"/>
  <c r="O77" i="1"/>
  <c r="G56" i="8" s="1"/>
  <c r="O52" i="1"/>
  <c r="G46" i="8" s="1"/>
  <c r="EO13" i="1"/>
  <c r="EO12" i="1"/>
  <c r="FA7" i="1" s="1"/>
  <c r="EO5" i="1"/>
  <c r="EQ5" i="1" s="1"/>
  <c r="FH74" i="1" l="1"/>
  <c r="Y2" i="11"/>
  <c r="AG69" i="11"/>
  <c r="FH8" i="1"/>
  <c r="FA8" i="1"/>
  <c r="O4" i="1"/>
  <c r="G36" i="8"/>
  <c r="FH75" i="1"/>
  <c r="EO45" i="1"/>
  <c r="EQ45" i="1" s="1"/>
  <c r="EO42" i="1"/>
  <c r="DG71" i="1"/>
  <c r="CB71" i="1"/>
  <c r="EM55" i="1"/>
  <c r="DG55" i="1"/>
  <c r="CB55" i="1"/>
  <c r="EO78" i="1"/>
  <c r="EO76" i="1"/>
  <c r="EO74" i="1"/>
  <c r="EO73" i="1"/>
  <c r="EO70" i="1"/>
  <c r="EO69" i="1"/>
  <c r="EQ69" i="1" s="1"/>
  <c r="EO68" i="1"/>
  <c r="EO66" i="1"/>
  <c r="EQ66" i="1" s="1"/>
  <c r="EO65" i="1"/>
  <c r="FA58" i="1" s="1"/>
  <c r="EO64" i="1"/>
  <c r="EO63" i="1"/>
  <c r="EO62" i="1"/>
  <c r="EO60" i="1"/>
  <c r="FA57" i="1" s="1"/>
  <c r="EO59" i="1"/>
  <c r="EO58" i="1"/>
  <c r="EO57" i="1"/>
  <c r="EQ57" i="1" s="1"/>
  <c r="EO56" i="1"/>
  <c r="EQ56" i="1" s="1"/>
  <c r="EO54" i="1"/>
  <c r="EO53" i="1"/>
  <c r="EO50" i="1"/>
  <c r="EO49" i="1"/>
  <c r="EO46" i="1"/>
  <c r="EO44" i="1"/>
  <c r="EO43" i="1"/>
  <c r="EO41" i="1"/>
  <c r="EO40" i="1"/>
  <c r="EQ40" i="1" s="1"/>
  <c r="EO39" i="1"/>
  <c r="EO38" i="1"/>
  <c r="EO37" i="1"/>
  <c r="EQ37" i="1" s="1"/>
  <c r="EO36" i="1"/>
  <c r="EO35" i="1"/>
  <c r="EO34" i="1"/>
  <c r="EO33" i="1"/>
  <c r="EO32" i="1"/>
  <c r="EO31" i="1"/>
  <c r="EO30" i="1"/>
  <c r="EO29" i="1"/>
  <c r="EO28" i="1"/>
  <c r="EO27" i="1"/>
  <c r="EO25" i="1"/>
  <c r="EQ25" i="1" s="1"/>
  <c r="EO24" i="1"/>
  <c r="EQ24" i="1" s="1"/>
  <c r="EO23" i="1"/>
  <c r="EQ23" i="1" s="1"/>
  <c r="EO22" i="1"/>
  <c r="EQ22" i="1" s="1"/>
  <c r="EO21" i="1"/>
  <c r="EO20" i="1"/>
  <c r="EO19" i="1"/>
  <c r="EO18" i="1"/>
  <c r="EO17" i="1"/>
  <c r="EO16" i="1"/>
  <c r="EO15" i="1"/>
  <c r="EO14" i="1"/>
  <c r="EQ14" i="1" s="1"/>
  <c r="EQ13" i="1"/>
  <c r="EO11" i="1"/>
  <c r="EQ11" i="1" s="1"/>
  <c r="EO10" i="1"/>
  <c r="EO8" i="1"/>
  <c r="EO7" i="1"/>
  <c r="EO6" i="1"/>
  <c r="J7" i="8"/>
  <c r="J21" i="8" s="1"/>
  <c r="FB35" i="1"/>
  <c r="AA2" i="11" l="1"/>
  <c r="EV29" i="1"/>
  <c r="EW30" i="1" s="1"/>
  <c r="FA32" i="1"/>
  <c r="FA72" i="1" s="1"/>
  <c r="CB4" i="1"/>
  <c r="FA31" i="1"/>
  <c r="FA33" i="1"/>
  <c r="FA30" i="1"/>
  <c r="EQ49" i="1"/>
  <c r="FH57" i="1"/>
  <c r="FH30" i="1"/>
  <c r="FH31" i="1"/>
  <c r="FH32" i="1"/>
  <c r="FH72" i="1" s="1"/>
  <c r="FH33" i="1"/>
  <c r="FH58" i="1"/>
  <c r="EQ58" i="1"/>
  <c r="EO67" i="1"/>
  <c r="EQ42" i="1"/>
  <c r="J5" i="8"/>
  <c r="J19" i="8" s="1"/>
  <c r="EQ6" i="1"/>
  <c r="EO79" i="1"/>
  <c r="J4" i="8" s="1"/>
  <c r="J18" i="8" s="1"/>
  <c r="EQ54" i="1"/>
  <c r="EQ7" i="1"/>
  <c r="EQ59" i="1"/>
  <c r="EQ62" i="1"/>
  <c r="EQ65" i="1"/>
  <c r="EQ64" i="1"/>
  <c r="EQ34" i="1"/>
  <c r="EQ50" i="1"/>
  <c r="EQ10" i="1"/>
  <c r="EQ35" i="1"/>
  <c r="EQ27" i="1"/>
  <c r="EQ39" i="1"/>
  <c r="EQ15" i="1"/>
  <c r="EQ28" i="1"/>
  <c r="EQ70" i="1"/>
  <c r="EQ17" i="1"/>
  <c r="EQ30" i="1"/>
  <c r="EQ43" i="1"/>
  <c r="EQ60" i="1"/>
  <c r="EQ73" i="1"/>
  <c r="EQ21" i="1"/>
  <c r="EQ53" i="1"/>
  <c r="EQ36" i="1"/>
  <c r="EQ12" i="1"/>
  <c r="EQ38" i="1"/>
  <c r="EQ68" i="1"/>
  <c r="EQ16" i="1"/>
  <c r="EQ29" i="1"/>
  <c r="EQ41" i="1"/>
  <c r="EQ18" i="1"/>
  <c r="EQ31" i="1"/>
  <c r="EQ44" i="1"/>
  <c r="EQ74" i="1"/>
  <c r="EQ19" i="1"/>
  <c r="EQ32" i="1"/>
  <c r="EQ46" i="1"/>
  <c r="EQ76" i="1"/>
  <c r="EQ8" i="1"/>
  <c r="EQ20" i="1"/>
  <c r="EQ33" i="1"/>
  <c r="EQ63" i="1"/>
  <c r="EQ78" i="1"/>
  <c r="FB11" i="1"/>
  <c r="FB77" i="1" s="1"/>
  <c r="E8" i="8"/>
  <c r="D45" i="8"/>
  <c r="J45" i="8" s="1"/>
  <c r="FA60" i="1"/>
  <c r="D52" i="8"/>
  <c r="J52" i="8" s="1"/>
  <c r="E7" i="8"/>
  <c r="E6" i="8"/>
  <c r="E4" i="8"/>
  <c r="E3" i="8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1" i="7"/>
  <c r="L4" i="7"/>
  <c r="D57" i="6"/>
  <c r="E49" i="6"/>
  <c r="D49" i="6"/>
  <c r="E55" i="6"/>
  <c r="D55" i="6"/>
  <c r="E38" i="6"/>
  <c r="D38" i="6"/>
  <c r="E43" i="6"/>
  <c r="D43" i="6"/>
  <c r="E56" i="6"/>
  <c r="D56" i="6"/>
  <c r="E17" i="6"/>
  <c r="D17" i="6"/>
  <c r="E7" i="6"/>
  <c r="D7" i="6"/>
  <c r="E4" i="6"/>
  <c r="D4" i="6"/>
  <c r="E8" i="6"/>
  <c r="D8" i="6"/>
  <c r="E54" i="6"/>
  <c r="D54" i="6"/>
  <c r="E53" i="6"/>
  <c r="D53" i="6"/>
  <c r="E52" i="6"/>
  <c r="D52" i="6"/>
  <c r="E51" i="6"/>
  <c r="D51" i="6"/>
  <c r="E16" i="6"/>
  <c r="D16" i="6"/>
  <c r="E15" i="6"/>
  <c r="D15" i="6"/>
  <c r="E14" i="6"/>
  <c r="D14" i="6"/>
  <c r="E13" i="6"/>
  <c r="D13" i="6"/>
  <c r="E12" i="6"/>
  <c r="D12" i="6"/>
  <c r="E11" i="6"/>
  <c r="D11" i="6"/>
  <c r="E50" i="6"/>
  <c r="D50" i="6"/>
  <c r="E10" i="6"/>
  <c r="D10" i="6"/>
  <c r="E48" i="6"/>
  <c r="D48" i="6"/>
  <c r="E47" i="6"/>
  <c r="D47" i="6"/>
  <c r="E46" i="6"/>
  <c r="D46" i="6"/>
  <c r="E9" i="6"/>
  <c r="D9" i="6"/>
  <c r="E29" i="6"/>
  <c r="D29" i="6"/>
  <c r="E28" i="6"/>
  <c r="D28" i="6"/>
  <c r="E27" i="6"/>
  <c r="D27" i="6"/>
  <c r="E45" i="6"/>
  <c r="D45" i="6"/>
  <c r="E44" i="6"/>
  <c r="D44" i="6"/>
  <c r="E42" i="6"/>
  <c r="D42" i="6"/>
  <c r="E41" i="6"/>
  <c r="D41" i="6"/>
  <c r="E6" i="6"/>
  <c r="D6" i="6"/>
  <c r="E5" i="6"/>
  <c r="D5" i="6"/>
  <c r="E40" i="6"/>
  <c r="D40" i="6"/>
  <c r="E39" i="6"/>
  <c r="D39" i="6"/>
  <c r="E37" i="6"/>
  <c r="D37" i="6"/>
  <c r="E26" i="6"/>
  <c r="D26" i="6"/>
  <c r="E25" i="6"/>
  <c r="D25" i="6"/>
  <c r="E24" i="6"/>
  <c r="D24" i="6"/>
  <c r="E3" i="6"/>
  <c r="D3" i="6"/>
  <c r="E2" i="6"/>
  <c r="D2" i="6"/>
  <c r="E23" i="6"/>
  <c r="D23" i="6"/>
  <c r="E22" i="6"/>
  <c r="D22" i="6"/>
  <c r="E36" i="6"/>
  <c r="D36" i="6"/>
  <c r="J35" i="6"/>
  <c r="E35" i="6" s="1"/>
  <c r="E34" i="6"/>
  <c r="D34" i="6"/>
  <c r="E33" i="6"/>
  <c r="D33" i="6"/>
  <c r="E32" i="6"/>
  <c r="D32" i="6"/>
  <c r="F31" i="6"/>
  <c r="D31" i="6" s="1"/>
  <c r="E30" i="6"/>
  <c r="D30" i="6"/>
  <c r="D21" i="6"/>
  <c r="D20" i="6"/>
  <c r="D19" i="6"/>
  <c r="D18" i="6"/>
  <c r="FH71" i="1" l="1"/>
  <c r="EY29" i="1"/>
  <c r="FA35" i="1"/>
  <c r="D46" i="8" s="1"/>
  <c r="FH35" i="1"/>
  <c r="FF29" i="1" s="1"/>
  <c r="FA59" i="1"/>
  <c r="FA73" i="1"/>
  <c r="D55" i="8"/>
  <c r="J55" i="8" s="1"/>
  <c r="FH59" i="1"/>
  <c r="FH73" i="1" s="1"/>
  <c r="J6" i="8"/>
  <c r="J20" i="8" s="1"/>
  <c r="EQ67" i="1"/>
  <c r="EQ79" i="1"/>
  <c r="D35" i="6"/>
  <c r="FH39" i="1" l="1"/>
  <c r="FF30" i="1" s="1"/>
  <c r="E37" i="5"/>
  <c r="D53" i="8" l="1"/>
  <c r="J53" i="8" s="1"/>
  <c r="AV71" i="1" l="1"/>
  <c r="EO71" i="1" l="1"/>
  <c r="EM4" i="1"/>
  <c r="DG4" i="1"/>
  <c r="AV55" i="1"/>
  <c r="EQ71" i="1" l="1"/>
  <c r="AV4" i="1"/>
  <c r="EO55" i="1"/>
  <c r="E33" i="5"/>
  <c r="E34" i="5"/>
  <c r="E35" i="5"/>
  <c r="E36" i="5"/>
  <c r="D36" i="5"/>
  <c r="D35" i="5"/>
  <c r="D34" i="5"/>
  <c r="D33" i="5"/>
  <c r="D37" i="5" s="1"/>
  <c r="EO9" i="1"/>
  <c r="D33" i="8"/>
  <c r="D44" i="8"/>
  <c r="J44" i="8" s="1"/>
  <c r="P8" i="2"/>
  <c r="P12" i="2"/>
  <c r="P6" i="2"/>
  <c r="P7" i="2"/>
  <c r="P10" i="2"/>
  <c r="P13" i="2"/>
  <c r="P5" i="2"/>
  <c r="P2" i="2"/>
  <c r="P11" i="2"/>
  <c r="P9" i="2"/>
  <c r="P14" i="2"/>
  <c r="P4" i="2"/>
  <c r="P3" i="2"/>
  <c r="P15" i="2"/>
  <c r="EV5" i="1" l="1"/>
  <c r="J33" i="8"/>
  <c r="FH6" i="1"/>
  <c r="FH11" i="1" s="1"/>
  <c r="FA6" i="1"/>
  <c r="D32" i="8"/>
  <c r="FA71" i="1"/>
  <c r="EQ9" i="1"/>
  <c r="EQ55" i="1"/>
  <c r="B34" i="5"/>
  <c r="FA10" i="1"/>
  <c r="FA75" i="1" s="1"/>
  <c r="FH15" i="1" l="1"/>
  <c r="FF6" i="1" s="1"/>
  <c r="FF5" i="1"/>
  <c r="EW6" i="1"/>
  <c r="EY5" i="1"/>
  <c r="D31" i="8"/>
  <c r="J31" i="8" s="1"/>
  <c r="J32" i="8"/>
  <c r="D35" i="8"/>
  <c r="FA76" i="1"/>
  <c r="B33" i="5"/>
  <c r="D54" i="8"/>
  <c r="J54" i="8" s="1"/>
  <c r="D43" i="8"/>
  <c r="J43" i="8" s="1"/>
  <c r="I5" i="8" s="1"/>
  <c r="D42" i="8"/>
  <c r="J42" i="8" s="1"/>
  <c r="I4" i="8" l="1"/>
  <c r="D4" i="8"/>
  <c r="J35" i="8"/>
  <c r="I7" i="8" s="1"/>
  <c r="D7" i="8"/>
  <c r="D5" i="8"/>
  <c r="FA9" i="1"/>
  <c r="FA11" i="1" s="1"/>
  <c r="D34" i="8" l="1"/>
  <c r="FA74" i="1"/>
  <c r="D41" i="8"/>
  <c r="J41" i="8" s="1"/>
  <c r="D36" i="8"/>
  <c r="B31" i="8" s="1"/>
  <c r="J46" i="8" l="1"/>
  <c r="D6" i="8"/>
  <c r="J34" i="8"/>
  <c r="B30" i="8"/>
  <c r="J36" i="8" l="1"/>
  <c r="I6" i="8"/>
  <c r="B40" i="8"/>
  <c r="B41" i="8"/>
  <c r="EO61" i="1" l="1"/>
  <c r="EO4" i="1" s="1"/>
  <c r="EQ4" i="1" s="1"/>
  <c r="FA56" i="1" l="1"/>
  <c r="FH56" i="1"/>
  <c r="FH70" i="1" s="1"/>
  <c r="FH76" i="1" s="1"/>
  <c r="FH80" i="1" s="1"/>
  <c r="EQ61" i="1"/>
  <c r="EV55" i="1"/>
  <c r="EY55" i="1" s="1"/>
  <c r="FF69" i="1" l="1"/>
  <c r="FF70" i="1"/>
  <c r="EO2" i="1"/>
  <c r="FA61" i="1"/>
  <c r="D56" i="8" s="1"/>
  <c r="FA70" i="1"/>
  <c r="FA77" i="1" s="1"/>
  <c r="EY69" i="1" s="1"/>
  <c r="FH61" i="1"/>
  <c r="D51" i="8"/>
  <c r="EW56" i="1"/>
  <c r="FF55" i="1" l="1"/>
  <c r="FH65" i="1"/>
  <c r="FF56" i="1" s="1"/>
  <c r="D3" i="8"/>
  <c r="D8" i="8" s="1"/>
  <c r="J51" i="8"/>
  <c r="ET2" i="1"/>
  <c r="EQ2" i="1"/>
  <c r="ET4" i="1"/>
  <c r="K19" i="8"/>
  <c r="L19" i="8" s="1"/>
  <c r="J56" i="8" l="1"/>
  <c r="I3" i="8"/>
  <c r="I8" i="8" s="1"/>
  <c r="I11" i="8" s="1"/>
  <c r="K20" i="8"/>
  <c r="L20" i="8" s="1"/>
  <c r="J22" i="8"/>
  <c r="J9" i="8" l="1"/>
</calcChain>
</file>

<file path=xl/sharedStrings.xml><?xml version="1.0" encoding="utf-8"?>
<sst xmlns="http://schemas.openxmlformats.org/spreadsheetml/2006/main" count="2790" uniqueCount="793">
  <si>
    <t>■全体</t>
    <rPh sb="1" eb="3">
      <t>ゼンタイ</t>
    </rPh>
    <phoneticPr fontId="1"/>
  </si>
  <si>
    <t>■全体　FY25</t>
    <rPh sb="1" eb="3">
      <t>ゼンタイ</t>
    </rPh>
    <phoneticPr fontId="1"/>
  </si>
  <si>
    <t>10/23時点</t>
    <rPh sb="5" eb="7">
      <t>ジテン</t>
    </rPh>
    <phoneticPr fontId="1"/>
  </si>
  <si>
    <t>確度</t>
  </si>
  <si>
    <t>下期</t>
  </si>
  <si>
    <t>Plan1.2</t>
    <phoneticPr fontId="1"/>
  </si>
  <si>
    <t>積上げ</t>
    <rPh sb="0" eb="2">
      <t>ツミア</t>
    </rPh>
    <phoneticPr fontId="1"/>
  </si>
  <si>
    <t>Plan1.3</t>
    <phoneticPr fontId="1"/>
  </si>
  <si>
    <t>Plan1.2　当初</t>
    <rPh sb="8" eb="10">
      <t>トウショ</t>
    </rPh>
    <phoneticPr fontId="1"/>
  </si>
  <si>
    <t>A</t>
  </si>
  <si>
    <t>B</t>
  </si>
  <si>
    <t>C</t>
    <phoneticPr fontId="1"/>
  </si>
  <si>
    <t>Plan1.3テーマ</t>
    <phoneticPr fontId="1"/>
  </si>
  <si>
    <t>D</t>
  </si>
  <si>
    <t>約5000万円獲る！</t>
    <rPh sb="0" eb="1">
      <t>ヤク</t>
    </rPh>
    <rPh sb="5" eb="7">
      <t>マンエン</t>
    </rPh>
    <rPh sb="7" eb="8">
      <t>ト</t>
    </rPh>
    <phoneticPr fontId="1"/>
  </si>
  <si>
    <t>O</t>
  </si>
  <si>
    <t>合計</t>
  </si>
  <si>
    <t>案件合計</t>
    <rPh sb="0" eb="2">
      <t>アンケン</t>
    </rPh>
    <phoneticPr fontId="1"/>
  </si>
  <si>
    <t>Influence</t>
  </si>
  <si>
    <t>売上合計</t>
    <rPh sb="0" eb="2">
      <t>ウリアゲ</t>
    </rPh>
    <rPh sb="2" eb="4">
      <t>ゴウケイ</t>
    </rPh>
    <phoneticPr fontId="1"/>
  </si>
  <si>
    <t>■対チームKPI：4.5億</t>
    <rPh sb="12" eb="13">
      <t>オク</t>
    </rPh>
    <phoneticPr fontId="1"/>
  </si>
  <si>
    <t>KPI：4.5億</t>
    <rPh sb="7" eb="8">
      <t>オク</t>
    </rPh>
    <phoneticPr fontId="1"/>
  </si>
  <si>
    <t>FY24：2億500万</t>
    <rPh sb="6" eb="7">
      <t>オク</t>
    </rPh>
    <rPh sb="10" eb="11">
      <t>マン</t>
    </rPh>
    <phoneticPr fontId="1"/>
  </si>
  <si>
    <t>■業務IT</t>
    <rPh sb="1" eb="3">
      <t>ギョウム</t>
    </rPh>
    <phoneticPr fontId="1"/>
  </si>
  <si>
    <t>竹中上振れ、BIM：JSOL新規により想定拡大、Alikiは想定程のびず</t>
    <rPh sb="0" eb="2">
      <t>タケナカ</t>
    </rPh>
    <rPh sb="2" eb="4">
      <t>ウワブ</t>
    </rPh>
    <rPh sb="14" eb="16">
      <t>シンキ</t>
    </rPh>
    <rPh sb="19" eb="21">
      <t>ソウテイ</t>
    </rPh>
    <rPh sb="21" eb="23">
      <t>カクダイ</t>
    </rPh>
    <rPh sb="30" eb="32">
      <t>ソウテイ</t>
    </rPh>
    <rPh sb="32" eb="33">
      <t>ホド</t>
    </rPh>
    <phoneticPr fontId="1"/>
  </si>
  <si>
    <t>FY25上期</t>
    <rPh sb="4" eb="6">
      <t>カミキ</t>
    </rPh>
    <phoneticPr fontId="1"/>
  </si>
  <si>
    <t>通期</t>
    <rPh sb="0" eb="2">
      <t>ツウキ</t>
    </rPh>
    <phoneticPr fontId="1"/>
  </si>
  <si>
    <t>C</t>
  </si>
  <si>
    <t>■業務改善</t>
    <rPh sb="1" eb="3">
      <t>ギョウム</t>
    </rPh>
    <rPh sb="3" eb="5">
      <t>カイゼン</t>
    </rPh>
    <phoneticPr fontId="1"/>
  </si>
  <si>
    <t>大末＋青木が想定通り1.2億、TCG、東興、鍜治田など可能性があるので、最後の追い込みに期待</t>
    <rPh sb="6" eb="8">
      <t>ソウテイ</t>
    </rPh>
    <rPh sb="8" eb="9">
      <t>ドオ</t>
    </rPh>
    <rPh sb="13" eb="14">
      <t>オク</t>
    </rPh>
    <rPh sb="19" eb="21">
      <t>トウコウ</t>
    </rPh>
    <rPh sb="22" eb="23">
      <t>キョウ</t>
    </rPh>
    <rPh sb="24" eb="27">
      <t>カジタ</t>
    </rPh>
    <rPh sb="29" eb="32">
      <t>カノウセイ</t>
    </rPh>
    <rPh sb="38" eb="40">
      <t>サイゴ</t>
    </rPh>
    <rPh sb="41" eb="42">
      <t>オ</t>
    </rPh>
    <rPh sb="43" eb="44">
      <t>コキタイ</t>
    </rPh>
    <phoneticPr fontId="1"/>
  </si>
  <si>
    <t>■製造IT</t>
    <rPh sb="1" eb="3">
      <t>セイゾウ</t>
    </rPh>
    <phoneticPr fontId="1"/>
  </si>
  <si>
    <t>見込んでいたRPAが軒並みロスト、AI関連で追い込みをかけるも、見込Maxで予算比：58%。提案中1200万円を確実に獲得しつつ、さらなる上積みを目指す。</t>
    <rPh sb="0" eb="2">
      <t>ミコ</t>
    </rPh>
    <rPh sb="10" eb="12">
      <t>ノキナ</t>
    </rPh>
    <rPh sb="19" eb="21">
      <t>カンレン</t>
    </rPh>
    <rPh sb="22" eb="23">
      <t>オ</t>
    </rPh>
    <rPh sb="24" eb="25">
      <t>コ</t>
    </rPh>
    <rPh sb="32" eb="34">
      <t>ミコミ</t>
    </rPh>
    <rPh sb="38" eb="41">
      <t>ヨサンヒ</t>
    </rPh>
    <rPh sb="46" eb="49">
      <t>テイアンチュウ</t>
    </rPh>
    <rPh sb="54" eb="55">
      <t>エン</t>
    </rPh>
    <rPh sb="56" eb="58">
      <t>カクジツ</t>
    </rPh>
    <rPh sb="59" eb="61">
      <t>カクトク</t>
    </rPh>
    <rPh sb="69" eb="71">
      <t>ウワヅ</t>
    </rPh>
    <rPh sb="73" eb="75">
      <t>メザ</t>
    </rPh>
    <phoneticPr fontId="1"/>
  </si>
  <si>
    <t>サブチーム</t>
  </si>
  <si>
    <t>クライアント名</t>
    <rPh sb="6" eb="7">
      <t>メイ</t>
    </rPh>
    <phoneticPr fontId="0"/>
  </si>
  <si>
    <t>PJ名</t>
    <rPh sb="2" eb="3">
      <t>メイ</t>
    </rPh>
    <phoneticPr fontId="0"/>
  </si>
  <si>
    <t>コメント</t>
  </si>
  <si>
    <t>メンバ</t>
    <phoneticPr fontId="1"/>
  </si>
  <si>
    <t>確度</t>
    <rPh sb="0" eb="2">
      <t>カクド</t>
    </rPh>
    <phoneticPr fontId="0"/>
  </si>
  <si>
    <t>粗利率</t>
    <rPh sb="0" eb="3">
      <t>アラリリツ</t>
    </rPh>
    <phoneticPr fontId="1"/>
  </si>
  <si>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</si>
  <si>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</si>
  <si>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</si>
  <si>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</si>
  <si>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</si>
  <si>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</si>
  <si>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上期実績</t>
    <rPh sb="0" eb="2">
      <t>カミキ</t>
    </rPh>
    <rPh sb="2" eb="4">
      <t>ジッセキ</t>
    </rPh>
    <phoneticPr fontId="1"/>
  </si>
  <si>
    <t>7月実績</t>
    <rPh sb="1" eb="2">
      <t>ガツ</t>
    </rPh>
    <rPh sb="2" eb="4">
      <t>ジッセキ</t>
    </rPh>
    <phoneticPr fontId="1"/>
  </si>
  <si>
    <t>8月見込</t>
    <rPh sb="1" eb="2">
      <t>ガツ</t>
    </rPh>
    <rPh sb="2" eb="4">
      <t>ミコミ</t>
    </rPh>
    <phoneticPr fontId="1"/>
  </si>
  <si>
    <t>9月見込</t>
    <phoneticPr fontId="1"/>
  </si>
  <si>
    <t>10月見込</t>
    <phoneticPr fontId="1"/>
  </si>
  <si>
    <t>11月見込</t>
    <phoneticPr fontId="1"/>
  </si>
  <si>
    <t>12月見込</t>
    <phoneticPr fontId="1"/>
  </si>
  <si>
    <t>Plan1.3比</t>
    <rPh sb="7" eb="8">
      <t>ヒ</t>
    </rPh>
    <phoneticPr fontId="1"/>
  </si>
  <si>
    <t>Plan1.0</t>
    <phoneticPr fontId="1"/>
  </si>
  <si>
    <t>Plan1.0比</t>
    <rPh sb="7" eb="8">
      <t>ヒ</t>
    </rPh>
    <phoneticPr fontId="1"/>
  </si>
  <si>
    <t>チーム別</t>
    <rPh sb="3" eb="4">
      <t>ベツ</t>
    </rPh>
    <phoneticPr fontId="1"/>
  </si>
  <si>
    <t>■Opp Stage定義</t>
    <rPh sb="10" eb="12">
      <t>テイギ</t>
    </rPh>
    <phoneticPr fontId="0"/>
  </si>
  <si>
    <t>Revenue合計</t>
    <rPh sb="7" eb="9">
      <t>ゴウケイ</t>
    </rPh>
    <phoneticPr fontId="1"/>
  </si>
  <si>
    <t>下期</t>
    <rPh sb="0" eb="2">
      <t>シモキ</t>
    </rPh>
    <phoneticPr fontId="1"/>
  </si>
  <si>
    <t>FY25　通期</t>
    <rPh sb="5" eb="7">
      <t>ツウキ</t>
    </rPh>
    <phoneticPr fontId="1"/>
  </si>
  <si>
    <t>区分</t>
    <rPh sb="0" eb="2">
      <t>クブン</t>
    </rPh>
    <phoneticPr fontId="0"/>
  </si>
  <si>
    <t>受注確率</t>
    <rPh sb="0" eb="2">
      <t>ジュチュウ</t>
    </rPh>
    <rPh sb="2" eb="4">
      <t>カクリツ</t>
    </rPh>
    <phoneticPr fontId="0"/>
  </si>
  <si>
    <t>入れる内容例</t>
    <rPh sb="0" eb="1">
      <t>イ</t>
    </rPh>
    <rPh sb="3" eb="5">
      <t>ナイヨウ</t>
    </rPh>
    <rPh sb="5" eb="6">
      <t>レイ</t>
    </rPh>
    <phoneticPr fontId="0"/>
  </si>
  <si>
    <t>Influence</t>
    <phoneticPr fontId="1"/>
  </si>
  <si>
    <t>チームKPI</t>
    <phoneticPr fontId="1"/>
  </si>
  <si>
    <t>KPI比</t>
    <rPh sb="3" eb="4">
      <t>ヒ</t>
    </rPh>
    <phoneticPr fontId="1"/>
  </si>
  <si>
    <t>FY25NewLogo</t>
    <phoneticPr fontId="2"/>
  </si>
  <si>
    <t>月</t>
    <rPh sb="0" eb="1">
      <t>ゲツ</t>
    </rPh>
    <phoneticPr fontId="1"/>
  </si>
  <si>
    <t>火</t>
    <rPh sb="0" eb="1">
      <t>ヒ</t>
    </rPh>
    <phoneticPr fontId="1"/>
  </si>
  <si>
    <t>水</t>
  </si>
  <si>
    <t>木</t>
  </si>
  <si>
    <t>金</t>
  </si>
  <si>
    <t>土</t>
  </si>
  <si>
    <t>日</t>
  </si>
  <si>
    <t>月</t>
  </si>
  <si>
    <t>火</t>
  </si>
  <si>
    <t>水</t>
    <rPh sb="0" eb="1">
      <t>ミズ</t>
    </rPh>
    <phoneticPr fontId="1"/>
  </si>
  <si>
    <t>木</t>
    <rPh sb="0" eb="1">
      <t>モク</t>
    </rPh>
    <phoneticPr fontId="1"/>
  </si>
  <si>
    <t>下期積上</t>
    <rPh sb="0" eb="2">
      <t>シモキ</t>
    </rPh>
    <phoneticPr fontId="1"/>
  </si>
  <si>
    <t>業務ITT</t>
    <rPh sb="0" eb="2">
      <t>ギョウム</t>
    </rPh>
    <phoneticPr fontId="0"/>
  </si>
  <si>
    <t>Plan1.3比</t>
    <phoneticPr fontId="1"/>
  </si>
  <si>
    <t>■竹中＋BIMで、計画通り推移、竹中上振れ</t>
    <rPh sb="1" eb="3">
      <t>タケナカ</t>
    </rPh>
    <rPh sb="9" eb="12">
      <t>ケイカクドオ</t>
    </rPh>
    <rPh sb="13" eb="15">
      <t>スイイ</t>
    </rPh>
    <rPh sb="16" eb="18">
      <t>タケナカ</t>
    </rPh>
    <rPh sb="18" eb="20">
      <t>ウワブ</t>
    </rPh>
    <phoneticPr fontId="1"/>
  </si>
  <si>
    <t>業務IT</t>
    <rPh sb="0" eb="2">
      <t>ギョウム</t>
    </rPh>
    <phoneticPr fontId="1"/>
  </si>
  <si>
    <t>Plan1.3比はInfluence抜き</t>
    <rPh sb="7" eb="8">
      <t>ヒ</t>
    </rPh>
    <rPh sb="18" eb="19">
      <t>ヌ</t>
    </rPh>
    <phoneticPr fontId="1"/>
  </si>
  <si>
    <t>O</t>
    <phoneticPr fontId="0"/>
  </si>
  <si>
    <t>20%以下</t>
    <rPh sb="3" eb="5">
      <t>イカ</t>
    </rPh>
    <phoneticPr fontId="0"/>
  </si>
  <si>
    <t>白地のもの。オポチュニティーを認識したレベル。</t>
    <rPh sb="0" eb="2">
      <t>シラジ</t>
    </rPh>
    <rPh sb="15" eb="17">
      <t>ニンシキ</t>
    </rPh>
    <phoneticPr fontId="0"/>
  </si>
  <si>
    <t>JSOL Corporation</t>
  </si>
  <si>
    <t>BIM汎用コンポーネント開発支援</t>
  </si>
  <si>
    <t>継続</t>
    <rPh sb="0" eb="2">
      <t>ケイゾク</t>
    </rPh>
    <phoneticPr fontId="1"/>
  </si>
  <si>
    <t>稼働中</t>
    <rPh sb="0" eb="3">
      <t>カドウチュウ</t>
    </rPh>
    <phoneticPr fontId="1"/>
  </si>
  <si>
    <t>中村、天野、田村</t>
    <rPh sb="0" eb="2">
      <t>ナカムラ</t>
    </rPh>
    <rPh sb="3" eb="5">
      <t>アマノ</t>
    </rPh>
    <rPh sb="6" eb="8">
      <t>タムラ</t>
    </rPh>
    <phoneticPr fontId="1"/>
  </si>
  <si>
    <t>下期</t>
    <rPh sb="0" eb="2">
      <t>シモキ</t>
    </rPh>
    <phoneticPr fontId="0"/>
  </si>
  <si>
    <t>Plan</t>
    <phoneticPr fontId="2"/>
  </si>
  <si>
    <t>Plan1.3比</t>
  </si>
  <si>
    <t>Plan1.3</t>
  </si>
  <si>
    <t>100%KPI</t>
    <phoneticPr fontId="2"/>
  </si>
  <si>
    <t>D</t>
    <phoneticPr fontId="0"/>
  </si>
  <si>
    <t>提案実施済み、もしくは提案実施までは決まっているが受注可否が未定。</t>
    <rPh sb="0" eb="2">
      <t>テイアン</t>
    </rPh>
    <rPh sb="2" eb="4">
      <t>ジッシ</t>
    </rPh>
    <rPh sb="4" eb="5">
      <t>ズ</t>
    </rPh>
    <rPh sb="11" eb="13">
      <t>テイアン</t>
    </rPh>
    <rPh sb="13" eb="15">
      <t>ジッシ</t>
    </rPh>
    <rPh sb="18" eb="19">
      <t>キ</t>
    </rPh>
    <rPh sb="25" eb="27">
      <t>ジュチュウ</t>
    </rPh>
    <rPh sb="27" eb="29">
      <t>カヒ</t>
    </rPh>
    <rPh sb="30" eb="32">
      <t>ミテイ</t>
    </rPh>
    <phoneticPr fontId="0"/>
  </si>
  <si>
    <t>NISHIMATSU CONSTRUCTION CO.,LTD.</t>
  </si>
  <si>
    <t>BIMモデリング支援</t>
  </si>
  <si>
    <t>稼働中（11,12月も継続予定）</t>
  </si>
  <si>
    <t>中村</t>
    <rPh sb="0" eb="2">
      <t>ナカムラ</t>
    </rPh>
    <phoneticPr fontId="1"/>
  </si>
  <si>
    <t>A</t>
    <phoneticPr fontId="0"/>
  </si>
  <si>
    <t>C</t>
    <phoneticPr fontId="0"/>
  </si>
  <si>
    <t>A or Bの案件テーマの継続だが、まだ契約を実施していない。ただほぼ受注は問題ない案件。</t>
    <rPh sb="7" eb="9">
      <t>アンケン</t>
    </rPh>
    <rPh sb="13" eb="15">
      <t>ケイゾク</t>
    </rPh>
    <rPh sb="20" eb="22">
      <t>ケイヤク</t>
    </rPh>
    <rPh sb="23" eb="25">
      <t>ジッシ</t>
    </rPh>
    <rPh sb="35" eb="37">
      <t>ジュチュウ</t>
    </rPh>
    <rPh sb="38" eb="40">
      <t>モンダイ</t>
    </rPh>
    <rPh sb="42" eb="44">
      <t>アンケン</t>
    </rPh>
    <phoneticPr fontId="0"/>
  </si>
  <si>
    <t>SHIMZ</t>
  </si>
  <si>
    <t>FM事業支援</t>
    <phoneticPr fontId="0"/>
  </si>
  <si>
    <t>新規</t>
    <rPh sb="0" eb="2">
      <t>シンキ</t>
    </rPh>
    <phoneticPr fontId="1"/>
  </si>
  <si>
    <t>八巻、趙</t>
  </si>
  <si>
    <t>B</t>
    <phoneticPr fontId="0"/>
  </si>
  <si>
    <t>受注したが契約が未締結。</t>
    <rPh sb="0" eb="2">
      <t>ジュチュウ</t>
    </rPh>
    <rPh sb="5" eb="7">
      <t>ケイヤク</t>
    </rPh>
    <rPh sb="8" eb="11">
      <t>ミテイケツ</t>
    </rPh>
    <phoneticPr fontId="0"/>
  </si>
  <si>
    <t>Takenaka Corporation</t>
  </si>
  <si>
    <t>BIM基盤構築（3-7月）※コンサル</t>
  </si>
  <si>
    <t>八巻、田口、益田、趙、加賀谷</t>
    <rPh sb="0" eb="2">
      <t>ヤマキ</t>
    </rPh>
    <rPh sb="3" eb="5">
      <t>タグチ</t>
    </rPh>
    <rPh sb="6" eb="8">
      <t>マスダ</t>
    </rPh>
    <rPh sb="9" eb="10">
      <t>チョウ</t>
    </rPh>
    <rPh sb="11" eb="14">
      <t>カガヤ</t>
    </rPh>
    <phoneticPr fontId="1"/>
  </si>
  <si>
    <t>受注確定し、契約も実施。</t>
    <rPh sb="0" eb="4">
      <t>ジュチュウカクテイ</t>
    </rPh>
    <rPh sb="6" eb="8">
      <t>ケイヤク</t>
    </rPh>
    <rPh sb="9" eb="11">
      <t>ジッシ</t>
    </rPh>
    <phoneticPr fontId="0"/>
  </si>
  <si>
    <t>BIM基盤構築（8-12月）※コンサル</t>
  </si>
  <si>
    <t>八巻、田口、益田、趙、BP</t>
    <rPh sb="0" eb="2">
      <t>ヤマキ</t>
    </rPh>
    <rPh sb="3" eb="5">
      <t>タグチ</t>
    </rPh>
    <rPh sb="6" eb="8">
      <t>マスダ</t>
    </rPh>
    <rPh sb="9" eb="10">
      <t>チョウ</t>
    </rPh>
    <phoneticPr fontId="1"/>
  </si>
  <si>
    <t>※梅プラン見積→松プラン増額</t>
    <rPh sb="1" eb="2">
      <t>ウメ</t>
    </rPh>
    <rPh sb="5" eb="7">
      <t>ミツモリ</t>
    </rPh>
    <rPh sb="8" eb="9">
      <t>マツ</t>
    </rPh>
    <rPh sb="12" eb="14">
      <t>ゾウガク</t>
    </rPh>
    <phoneticPr fontId="1"/>
  </si>
  <si>
    <t>大阪本店 Akila導入検証</t>
  </si>
  <si>
    <t>提案見積提出済み（動きなし）</t>
    <rPh sb="0" eb="4">
      <t>テイアンミツモリ</t>
    </rPh>
    <rPh sb="4" eb="7">
      <t>テイシュツズ</t>
    </rPh>
    <rPh sb="9" eb="10">
      <t>ウゴ</t>
    </rPh>
    <phoneticPr fontId="1"/>
  </si>
  <si>
    <t>八巻、趙</t>
    <rPh sb="0" eb="2">
      <t>ヤマキ</t>
    </rPh>
    <rPh sb="3" eb="4">
      <t>チョウ</t>
    </rPh>
    <phoneticPr fontId="1"/>
  </si>
  <si>
    <t>ー</t>
    <phoneticPr fontId="2"/>
  </si>
  <si>
    <t>動きが無いため一旦保留</t>
  </si>
  <si>
    <t>中央監視システム開発支援</t>
  </si>
  <si>
    <t>八巻、田口</t>
    <rPh sb="0" eb="2">
      <t>ヤマキ</t>
    </rPh>
    <rPh sb="3" eb="5">
      <t>タグチ</t>
    </rPh>
    <phoneticPr fontId="1"/>
  </si>
  <si>
    <t>合計</t>
    <rPh sb="0" eb="2">
      <t>ゴウケイ</t>
    </rPh>
    <phoneticPr fontId="0"/>
  </si>
  <si>
    <t>積上げ</t>
    <rPh sb="0" eb="2">
      <t>ツミア</t>
    </rPh>
    <phoneticPr fontId="2"/>
  </si>
  <si>
    <t>New Customer（大林組）</t>
    <rPh sb="13" eb="16">
      <t>オオバヤシグミ</t>
    </rPh>
    <phoneticPr fontId="1"/>
  </si>
  <si>
    <t>デジタルツイン（Akila PoCプラン）</t>
  </si>
  <si>
    <t>八巻、天野</t>
    <rPh sb="3" eb="5">
      <t>アマノ</t>
    </rPh>
    <phoneticPr fontId="1"/>
  </si>
  <si>
    <t>DAISUE CONSTRUCTION CO.,LTD.</t>
  </si>
  <si>
    <t>BIM動画作成（下期）</t>
    <rPh sb="3" eb="7">
      <t>ドウガサクセイ</t>
    </rPh>
    <rPh sb="8" eb="10">
      <t>シモキ</t>
    </rPh>
    <phoneticPr fontId="2"/>
  </si>
  <si>
    <t>12月建設DX展に合わせて実施</t>
    <rPh sb="2" eb="3">
      <t>ガツ</t>
    </rPh>
    <rPh sb="3" eb="5">
      <t>ケンセツ</t>
    </rPh>
    <rPh sb="7" eb="8">
      <t>テン</t>
    </rPh>
    <rPh sb="9" eb="10">
      <t>ア</t>
    </rPh>
    <rPh sb="13" eb="15">
      <t>ジッシ</t>
    </rPh>
    <phoneticPr fontId="1"/>
  </si>
  <si>
    <t>中村</t>
    <phoneticPr fontId="1"/>
  </si>
  <si>
    <t>Influence</t>
    <phoneticPr fontId="2"/>
  </si>
  <si>
    <t>建設DXコンサル支援（ナカノフドー建設）</t>
    <phoneticPr fontId="0"/>
  </si>
  <si>
    <t>稼働中（～2026年3月）</t>
    <rPh sb="0" eb="3">
      <t>カドウチュウ</t>
    </rPh>
    <rPh sb="9" eb="10">
      <t>ネン</t>
    </rPh>
    <rPh sb="11" eb="12">
      <t>ガツ</t>
    </rPh>
    <phoneticPr fontId="1"/>
  </si>
  <si>
    <t>中村、天野</t>
    <rPh sb="0" eb="2">
      <t>ナカムラ</t>
    </rPh>
    <rPh sb="3" eb="5">
      <t>アマノ</t>
    </rPh>
    <phoneticPr fontId="1"/>
  </si>
  <si>
    <t>DAISUE CONSTRUCTION CO.,LTD.</t>
    <phoneticPr fontId="1"/>
  </si>
  <si>
    <t>BIM品質チェックリスト作成協力業務</t>
    <phoneticPr fontId="1"/>
  </si>
  <si>
    <t>完了</t>
    <rPh sb="0" eb="2">
      <t>カンリョウ</t>
    </rPh>
    <phoneticPr fontId="1"/>
  </si>
  <si>
    <t>中村</t>
  </si>
  <si>
    <t>見込合計</t>
    <rPh sb="0" eb="2">
      <t>ミコミ</t>
    </rPh>
    <rPh sb="2" eb="4">
      <t>ゴウケイ</t>
    </rPh>
    <phoneticPr fontId="2"/>
  </si>
  <si>
    <t>New Customer（JR東日本建築設計）</t>
    <phoneticPr fontId="1"/>
  </si>
  <si>
    <t>デジタルツイン（Akila PoCプラン）</t>
    <phoneticPr fontId="1"/>
  </si>
  <si>
    <t>7/1提案、動きなし。</t>
    <rPh sb="3" eb="5">
      <t>テイアン</t>
    </rPh>
    <rPh sb="6" eb="7">
      <t>ウゴ</t>
    </rPh>
    <phoneticPr fontId="1"/>
  </si>
  <si>
    <t>八巻</t>
    <rPh sb="0" eb="2">
      <t>ヤマキ</t>
    </rPh>
    <phoneticPr fontId="1"/>
  </si>
  <si>
    <t>New Customer（清水建設）</t>
    <phoneticPr fontId="1"/>
  </si>
  <si>
    <t>8/29見積提出、動きなし。</t>
    <rPh sb="4" eb="6">
      <t>ミツモリ</t>
    </rPh>
    <rPh sb="6" eb="8">
      <t>テイシュツ</t>
    </rPh>
    <rPh sb="9" eb="10">
      <t>ウゴ</t>
    </rPh>
    <phoneticPr fontId="1"/>
  </si>
  <si>
    <t>New Customer（長谷工）</t>
    <phoneticPr fontId="1"/>
  </si>
  <si>
    <t>6/26会社紹介</t>
    <rPh sb="4" eb="6">
      <t>カイシャ</t>
    </rPh>
    <rPh sb="6" eb="8">
      <t>ショウカイ</t>
    </rPh>
    <phoneticPr fontId="1"/>
  </si>
  <si>
    <t>New Customer（住友商事）</t>
    <phoneticPr fontId="1"/>
  </si>
  <si>
    <t>BCOアポ取り中</t>
    <rPh sb="5" eb="6">
      <t>ド</t>
    </rPh>
    <rPh sb="7" eb="8">
      <t>チュウ</t>
    </rPh>
    <phoneticPr fontId="1"/>
  </si>
  <si>
    <t>New Customer（ファーストリテイリング）</t>
    <phoneticPr fontId="1"/>
  </si>
  <si>
    <t>New Customer（ニトリ）</t>
    <phoneticPr fontId="1"/>
  </si>
  <si>
    <t>New Customer（資生堂）</t>
    <phoneticPr fontId="1"/>
  </si>
  <si>
    <t>業務ITT</t>
    <rPh sb="0" eb="2">
      <t>ギョウム</t>
    </rPh>
    <phoneticPr fontId="2"/>
  </si>
  <si>
    <t>BIM基盤構築（開発）</t>
    <rPh sb="8" eb="10">
      <t>カイハツ</t>
    </rPh>
    <phoneticPr fontId="2"/>
  </si>
  <si>
    <t>稼働中（～2026年12月）</t>
    <rPh sb="0" eb="3">
      <t>カドウチュウ</t>
    </rPh>
    <rPh sb="9" eb="10">
      <t>ネン</t>
    </rPh>
    <rPh sb="12" eb="13">
      <t>ガツ</t>
    </rPh>
    <phoneticPr fontId="1"/>
  </si>
  <si>
    <t>田口</t>
    <rPh sb="0" eb="2">
      <t>タグチ</t>
    </rPh>
    <phoneticPr fontId="1"/>
  </si>
  <si>
    <t>建設DXコンサル支援（ピーエスコンストラクション）</t>
  </si>
  <si>
    <t>八巻、田村</t>
    <rPh sb="0" eb="2">
      <t>ヤマキ</t>
    </rPh>
    <rPh sb="3" eb="5">
      <t>タムラ</t>
    </rPh>
    <phoneticPr fontId="1"/>
  </si>
  <si>
    <t>3Dでの整合性確認の事例紹介の動画作成業務</t>
  </si>
  <si>
    <t>中村、久保田</t>
    <rPh sb="3" eb="6">
      <t>クボタ</t>
    </rPh>
    <phoneticPr fontId="1"/>
  </si>
  <si>
    <t>実績積みあげ</t>
    <rPh sb="0" eb="3">
      <t>ジッセキツ</t>
    </rPh>
    <phoneticPr fontId="1"/>
  </si>
  <si>
    <t>DLM基盤構築（開発）</t>
    <rPh sb="8" eb="10">
      <t>カイハツ</t>
    </rPh>
    <phoneticPr fontId="2"/>
  </si>
  <si>
    <t>千葉</t>
    <rPh sb="0" eb="2">
      <t>チバ</t>
    </rPh>
    <phoneticPr fontId="1"/>
  </si>
  <si>
    <t>業務改善T</t>
    <rPh sb="0" eb="2">
      <t>ギョウム</t>
    </rPh>
    <rPh sb="2" eb="4">
      <t>カイゼン</t>
    </rPh>
    <phoneticPr fontId="0"/>
  </si>
  <si>
    <t>Asunaro Aoki Construction Co.,Ltd.</t>
  </si>
  <si>
    <t>AAK_スマートBPO業務・方針整理（1月～9月）</t>
    <rPh sb="20" eb="21">
      <t>ガツ</t>
    </rPh>
    <rPh sb="23" eb="24">
      <t>ガツ</t>
    </rPh>
    <phoneticPr fontId="0"/>
  </si>
  <si>
    <t>又地、石川、平塚、京地</t>
    <rPh sb="0" eb="2">
      <t>マタチ</t>
    </rPh>
    <rPh sb="3" eb="5">
      <t>イシカワ</t>
    </rPh>
    <rPh sb="6" eb="8">
      <t>ヒラツカ</t>
    </rPh>
    <rPh sb="9" eb="11">
      <t>キョウチ</t>
    </rPh>
    <phoneticPr fontId="1"/>
  </si>
  <si>
    <t>業務改善</t>
    <rPh sb="0" eb="2">
      <t>ギョウム</t>
    </rPh>
    <rPh sb="2" eb="4">
      <t>カイゼン</t>
    </rPh>
    <phoneticPr fontId="1"/>
  </si>
  <si>
    <t>AAK_スマートBPO業務・方針整理（10月～12月）</t>
  </si>
  <si>
    <t>受注確定：契約手続き中</t>
    <rPh sb="0" eb="2">
      <t>ジュチュウ</t>
    </rPh>
    <rPh sb="2" eb="4">
      <t>カクテイ</t>
    </rPh>
    <rPh sb="5" eb="9">
      <t>ケイヤクテツヅ</t>
    </rPh>
    <rPh sb="10" eb="11">
      <t>チュウ</t>
    </rPh>
    <phoneticPr fontId="1"/>
  </si>
  <si>
    <t>A</t>
    <phoneticPr fontId="1"/>
  </si>
  <si>
    <t>確度</t>
    <rPh sb="0" eb="2">
      <t>カクド</t>
    </rPh>
    <phoneticPr fontId="2"/>
  </si>
  <si>
    <t>下期</t>
    <rPh sb="0" eb="2">
      <t>シモキ</t>
    </rPh>
    <phoneticPr fontId="2"/>
  </si>
  <si>
    <t>業務改善（1月～9月）</t>
    <rPh sb="6" eb="7">
      <t>ガツ</t>
    </rPh>
    <rPh sb="9" eb="10">
      <t>ガツ</t>
    </rPh>
    <phoneticPr fontId="0"/>
  </si>
  <si>
    <t>A</t>
    <phoneticPr fontId="2"/>
  </si>
  <si>
    <t>業務改善（10月～12月）</t>
  </si>
  <si>
    <t>B</t>
    <phoneticPr fontId="2"/>
  </si>
  <si>
    <t>[Renew] DX system AMS phase（1月～9月）</t>
    <rPh sb="29" eb="30">
      <t>ガツ</t>
    </rPh>
    <rPh sb="32" eb="33">
      <t>ガツ</t>
    </rPh>
    <phoneticPr fontId="0"/>
  </si>
  <si>
    <t>中村、久保田</t>
    <rPh sb="0" eb="2">
      <t>ナカムラ</t>
    </rPh>
    <rPh sb="3" eb="6">
      <t>クボタ</t>
    </rPh>
    <phoneticPr fontId="1"/>
  </si>
  <si>
    <t>C</t>
    <phoneticPr fontId="2"/>
  </si>
  <si>
    <t>[Renew] DX system AMS phase（10月～12月）</t>
    <rPh sb="30" eb="31">
      <t>ガツ</t>
    </rPh>
    <rPh sb="34" eb="35">
      <t>ガツ</t>
    </rPh>
    <phoneticPr fontId="0"/>
  </si>
  <si>
    <t>D</t>
    <phoneticPr fontId="2"/>
  </si>
  <si>
    <t>DXS-2</t>
  </si>
  <si>
    <t>先方リソース不足により当初の予定より遅延。開始に向けて請求外支援中</t>
    <rPh sb="0" eb="2">
      <t>センポウ</t>
    </rPh>
    <rPh sb="6" eb="8">
      <t>ブソク</t>
    </rPh>
    <rPh sb="11" eb="13">
      <t>トウショ</t>
    </rPh>
    <rPh sb="14" eb="16">
      <t>ヨテイ</t>
    </rPh>
    <rPh sb="18" eb="20">
      <t>チエン</t>
    </rPh>
    <rPh sb="21" eb="23">
      <t>カイシ</t>
    </rPh>
    <rPh sb="24" eb="25">
      <t>ム</t>
    </rPh>
    <rPh sb="27" eb="30">
      <t>セイキュウガイ</t>
    </rPh>
    <rPh sb="30" eb="32">
      <t>シエン</t>
    </rPh>
    <rPh sb="32" eb="33">
      <t>チュウ</t>
    </rPh>
    <phoneticPr fontId="1"/>
  </si>
  <si>
    <t>加藤、久保田</t>
    <rPh sb="0" eb="2">
      <t>カトウ</t>
    </rPh>
    <rPh sb="3" eb="6">
      <t>クボタ</t>
    </rPh>
    <phoneticPr fontId="1"/>
  </si>
  <si>
    <t>-</t>
    <phoneticPr fontId="1"/>
  </si>
  <si>
    <t>O</t>
    <phoneticPr fontId="2"/>
  </si>
  <si>
    <t>ラクタス新規開発（DXS２遅延の穴埋め）</t>
    <rPh sb="4" eb="8">
      <t>シンキカイハツ</t>
    </rPh>
    <rPh sb="13" eb="15">
      <t>チエン</t>
    </rPh>
    <rPh sb="16" eb="18">
      <t>アナウ</t>
    </rPh>
    <phoneticPr fontId="1"/>
  </si>
  <si>
    <t>10月スタートで提案書最終版提出済み。確定待ち</t>
    <rPh sb="2" eb="3">
      <t>ガツ</t>
    </rPh>
    <rPh sb="8" eb="14">
      <t>テイアンショサイシュウバン</t>
    </rPh>
    <rPh sb="14" eb="17">
      <t>テイシュツズ</t>
    </rPh>
    <rPh sb="19" eb="22">
      <t>カクテイマ</t>
    </rPh>
    <phoneticPr fontId="1"/>
  </si>
  <si>
    <t>DXS２の穴埋め</t>
    <rPh sb="5" eb="7">
      <t>アナウ</t>
    </rPh>
    <phoneticPr fontId="1"/>
  </si>
  <si>
    <t>合計</t>
    <rPh sb="0" eb="2">
      <t>ゴウケイ</t>
    </rPh>
    <phoneticPr fontId="2"/>
  </si>
  <si>
    <t>基幹システムリプレイス（1月～9月）</t>
  </si>
  <si>
    <t>加藤、多ケ谷</t>
    <rPh sb="0" eb="2">
      <t>カトウ</t>
    </rPh>
    <rPh sb="3" eb="6">
      <t>タガヤ</t>
    </rPh>
    <phoneticPr fontId="1"/>
  </si>
  <si>
    <t>基幹システムリプレイス（10月～12月）</t>
  </si>
  <si>
    <t>受注ほぼ確定：当初より150万程度の増額、先方社内で稟申中。確定待ち</t>
    <rPh sb="0" eb="2">
      <t>ジュチュウ</t>
    </rPh>
    <rPh sb="4" eb="6">
      <t>カクテイ</t>
    </rPh>
    <rPh sb="7" eb="9">
      <t>トウショ</t>
    </rPh>
    <rPh sb="14" eb="15">
      <t>マン</t>
    </rPh>
    <rPh sb="15" eb="17">
      <t>テイド</t>
    </rPh>
    <rPh sb="18" eb="20">
      <t>ゾウガク</t>
    </rPh>
    <rPh sb="21" eb="23">
      <t>センポウ</t>
    </rPh>
    <rPh sb="23" eb="25">
      <t>シャナイ</t>
    </rPh>
    <rPh sb="24" eb="25">
      <t>ナイ</t>
    </rPh>
    <rPh sb="26" eb="29">
      <t>リンシンチュウ</t>
    </rPh>
    <rPh sb="30" eb="33">
      <t>カクテイマ</t>
    </rPh>
    <phoneticPr fontId="1"/>
  </si>
  <si>
    <t>アプリ展開①：鍜治田工務店（大末横展開）</t>
    <rPh sb="7" eb="13">
      <t>カジタコウムテン</t>
    </rPh>
    <rPh sb="16" eb="19">
      <t>ヨコテンカイ</t>
    </rPh>
    <phoneticPr fontId="0"/>
  </si>
  <si>
    <t>DXS展開</t>
  </si>
  <si>
    <t>7/17に三田来訪。協議継続中。次回は9月。来期予算取り</t>
    <rPh sb="5" eb="9">
      <t>ミタライホウ</t>
    </rPh>
    <rPh sb="10" eb="15">
      <t>キョウギケイゾクチュウ</t>
    </rPh>
    <rPh sb="16" eb="18">
      <t>ジカイ</t>
    </rPh>
    <rPh sb="20" eb="21">
      <t>ガツ</t>
    </rPh>
    <rPh sb="22" eb="24">
      <t>ライキ</t>
    </rPh>
    <rPh sb="24" eb="27">
      <t>ヨサンド</t>
    </rPh>
    <phoneticPr fontId="1"/>
  </si>
  <si>
    <t>加藤</t>
    <rPh sb="0" eb="2">
      <t>カトウ</t>
    </rPh>
    <phoneticPr fontId="1"/>
  </si>
  <si>
    <t>アプリ展開②：りんかい日産建設他（大末横展開）</t>
    <rPh sb="11" eb="13">
      <t>ニッサン</t>
    </rPh>
    <rPh sb="13" eb="15">
      <t>ケンセツ</t>
    </rPh>
    <rPh sb="15" eb="16">
      <t>ホカ</t>
    </rPh>
    <phoneticPr fontId="0"/>
  </si>
  <si>
    <t>大末からの横展開が困難、個別アポどり難航。TCG基幹次第で中断する方針</t>
    <rPh sb="0" eb="2">
      <t>ダイスエ</t>
    </rPh>
    <rPh sb="5" eb="8">
      <t>ヨコテンカイ</t>
    </rPh>
    <rPh sb="9" eb="11">
      <t>コンナン</t>
    </rPh>
    <rPh sb="12" eb="14">
      <t>コベツ</t>
    </rPh>
    <rPh sb="18" eb="20">
      <t>ナンコウ</t>
    </rPh>
    <phoneticPr fontId="1"/>
  </si>
  <si>
    <t>アプリ展開③：錢高組他（大末横展開）</t>
    <rPh sb="7" eb="10">
      <t>ゼニタカグミ</t>
    </rPh>
    <rPh sb="10" eb="11">
      <t>ホカ</t>
    </rPh>
    <phoneticPr fontId="0"/>
  </si>
  <si>
    <t>業務改善T</t>
    <rPh sb="0" eb="2">
      <t>ギョウム</t>
    </rPh>
    <rPh sb="2" eb="4">
      <t>カイゼン</t>
    </rPh>
    <phoneticPr fontId="2"/>
  </si>
  <si>
    <t>髙松コンストラクショングループ</t>
    <rPh sb="0" eb="2">
      <t>タカマツ</t>
    </rPh>
    <phoneticPr fontId="1"/>
  </si>
  <si>
    <t>基幹：業務調査・要件整理・RFPのネタ作成</t>
  </si>
  <si>
    <t>新規</t>
  </si>
  <si>
    <t>提案4回、最有力だが先方意思決定難航。PJTはAA主管、コンサル選定はTCGとのこと。望月社長経由でのプッシュ継続。</t>
    <rPh sb="0" eb="2">
      <t>テイアン</t>
    </rPh>
    <rPh sb="3" eb="4">
      <t>カイ</t>
    </rPh>
    <rPh sb="5" eb="8">
      <t>サイユウリョク</t>
    </rPh>
    <rPh sb="10" eb="12">
      <t>センポウ</t>
    </rPh>
    <rPh sb="12" eb="16">
      <t>イシケッテイ</t>
    </rPh>
    <rPh sb="16" eb="18">
      <t>ナンコウ</t>
    </rPh>
    <rPh sb="25" eb="27">
      <t>シュカン</t>
    </rPh>
    <rPh sb="32" eb="34">
      <t>センテイ</t>
    </rPh>
    <rPh sb="43" eb="47">
      <t>モチヅキシャチョウ</t>
    </rPh>
    <rPh sb="47" eb="49">
      <t>ケイユ</t>
    </rPh>
    <rPh sb="55" eb="57">
      <t>ケイゾク</t>
    </rPh>
    <phoneticPr fontId="1"/>
  </si>
  <si>
    <t>（WIP:1億弱）</t>
  </si>
  <si>
    <t>東興ジオテック</t>
    <rPh sb="0" eb="2">
      <t>トウコウ</t>
    </rPh>
    <phoneticPr fontId="1"/>
  </si>
  <si>
    <t>業務調査、要件整理／ICT施工戦略支援</t>
    <rPh sb="0" eb="4">
      <t>ギョウムチョウサ</t>
    </rPh>
    <rPh sb="5" eb="9">
      <t>ヨウケンセイリ</t>
    </rPh>
    <rPh sb="13" eb="15">
      <t>セコウ</t>
    </rPh>
    <rPh sb="15" eb="19">
      <t>センリャクシエン</t>
    </rPh>
    <phoneticPr fontId="1"/>
  </si>
  <si>
    <t>業務調査＋ICT施工で受注確定（10/30）</t>
    <rPh sb="0" eb="4">
      <t>ギョウムチョウサ</t>
    </rPh>
    <rPh sb="8" eb="10">
      <t>セコウ</t>
    </rPh>
    <rPh sb="11" eb="15">
      <t>ジュチュウカクテイ</t>
    </rPh>
    <phoneticPr fontId="1"/>
  </si>
  <si>
    <t>加藤、境</t>
    <rPh sb="0" eb="2">
      <t>カトウ</t>
    </rPh>
    <rPh sb="3" eb="4">
      <t>サカイ</t>
    </rPh>
    <phoneticPr fontId="1"/>
  </si>
  <si>
    <t>1.5か月に 10/23</t>
    <rPh sb="4" eb="5">
      <t>ゲツ</t>
    </rPh>
    <phoneticPr fontId="1"/>
  </si>
  <si>
    <t>水中ブルドーザー市場調査</t>
  </si>
  <si>
    <t>望月様紹介により土木事業部の市場調査を受注</t>
  </si>
  <si>
    <t>瀬田、又地、田村</t>
  </si>
  <si>
    <t>市場調査1千万</t>
    <rPh sb="0" eb="2">
      <t>シジョウ</t>
    </rPh>
    <rPh sb="2" eb="4">
      <t>チョウサ</t>
    </rPh>
    <rPh sb="5" eb="7">
      <t>センマン</t>
    </rPh>
    <phoneticPr fontId="1"/>
  </si>
  <si>
    <t>水中ブルドーザービジネス支援</t>
    <rPh sb="12" eb="14">
      <t>シエン</t>
    </rPh>
    <phoneticPr fontId="1"/>
  </si>
  <si>
    <t>市場調査後の、各種資料作成・PMO 11月～1月　3か月　105万円×3</t>
    <rPh sb="0" eb="5">
      <t>シジョウチョウサゴ</t>
    </rPh>
    <rPh sb="7" eb="11">
      <t>カクシュシリョウ</t>
    </rPh>
    <rPh sb="11" eb="13">
      <t>サクセイ</t>
    </rPh>
    <rPh sb="20" eb="21">
      <t>ガツ</t>
    </rPh>
    <rPh sb="23" eb="24">
      <t>ガツ</t>
    </rPh>
    <rPh sb="27" eb="28">
      <t>ゲツ</t>
    </rPh>
    <rPh sb="32" eb="34">
      <t>マンエン</t>
    </rPh>
    <phoneticPr fontId="1"/>
  </si>
  <si>
    <t>又地</t>
    <phoneticPr fontId="1"/>
  </si>
  <si>
    <t>B</t>
    <phoneticPr fontId="1"/>
  </si>
  <si>
    <t>▲総額・期間合意</t>
    <rPh sb="1" eb="3">
      <t>ソウガク</t>
    </rPh>
    <rPh sb="4" eb="6">
      <t>キカン</t>
    </rPh>
    <rPh sb="6" eb="8">
      <t>ゴウイ</t>
    </rPh>
    <phoneticPr fontId="1"/>
  </si>
  <si>
    <t>FY26の1月まで（1月で105万円）</t>
    <rPh sb="6" eb="7">
      <t>ガツ</t>
    </rPh>
    <rPh sb="11" eb="12">
      <t>ガツ</t>
    </rPh>
    <rPh sb="16" eb="18">
      <t>マンエン</t>
    </rPh>
    <phoneticPr fontId="1"/>
  </si>
  <si>
    <t>データセンター市場調査</t>
    <rPh sb="7" eb="11">
      <t>シジョウチョウサ</t>
    </rPh>
    <phoneticPr fontId="1"/>
  </si>
  <si>
    <t>市場調査後の、各種資料作成・PMO。10/24頃までには判明？</t>
    <rPh sb="0" eb="5">
      <t>シジョウチョウサゴ</t>
    </rPh>
    <rPh sb="7" eb="11">
      <t>カクシュシリョウ</t>
    </rPh>
    <rPh sb="11" eb="13">
      <t>サクセイ</t>
    </rPh>
    <rPh sb="23" eb="24">
      <t>コロ</t>
    </rPh>
    <rPh sb="28" eb="30">
      <t>ハンメイ</t>
    </rPh>
    <phoneticPr fontId="1"/>
  </si>
  <si>
    <t>加藤、又地</t>
    <rPh sb="0" eb="2">
      <t>カトウ</t>
    </rPh>
    <phoneticPr fontId="1"/>
  </si>
  <si>
    <t>-</t>
    <phoneticPr fontId="2"/>
  </si>
  <si>
    <t>コンペ後、ロスト</t>
    <rPh sb="3" eb="4">
      <t>ゴ</t>
    </rPh>
    <phoneticPr fontId="1"/>
  </si>
  <si>
    <t>GX市場調査</t>
  </si>
  <si>
    <t>水中ブルドーザー市場調査を評価頂き更に別件の土木の市場調査を受注</t>
  </si>
  <si>
    <t>瀬田、又地、境</t>
  </si>
  <si>
    <t>経営管理システム構築</t>
    <rPh sb="0" eb="4">
      <t>ケイエイカンリ</t>
    </rPh>
    <rPh sb="8" eb="10">
      <t>コウチク</t>
    </rPh>
    <phoneticPr fontId="1"/>
  </si>
  <si>
    <r>
      <t>基幹刷新に伴うAA周辺システムの構築</t>
    </r>
    <r>
      <rPr>
        <sz val="11"/>
        <color rgb="FFFF0000"/>
        <rFont val="Yu Gothic UI"/>
        <family val="3"/>
        <charset val="128"/>
      </rPr>
      <t>→受注確定（10/31)</t>
    </r>
    <rPh sb="0" eb="4">
      <t>キカンサッシン</t>
    </rPh>
    <rPh sb="5" eb="6">
      <t>トモナ</t>
    </rPh>
    <rPh sb="9" eb="11">
      <t>シュウヘン</t>
    </rPh>
    <rPh sb="16" eb="18">
      <t>コウチク</t>
    </rPh>
    <rPh sb="19" eb="23">
      <t>ジュチュウカクテイ</t>
    </rPh>
    <phoneticPr fontId="1"/>
  </si>
  <si>
    <t>加藤、京地</t>
    <rPh sb="0" eb="2">
      <t>カトウ</t>
    </rPh>
    <rPh sb="3" eb="4">
      <t>キョウ</t>
    </rPh>
    <rPh sb="4" eb="5">
      <t>チ</t>
    </rPh>
    <phoneticPr fontId="1"/>
  </si>
  <si>
    <t>FY26の1月まで（1月241万円、その後も継続予定）</t>
    <rPh sb="6" eb="7">
      <t>ガツ</t>
    </rPh>
    <rPh sb="11" eb="12">
      <t>ガツ</t>
    </rPh>
    <rPh sb="15" eb="17">
      <t>マンエン</t>
    </rPh>
    <rPh sb="20" eb="21">
      <t>ゴ</t>
    </rPh>
    <rPh sb="22" eb="26">
      <t>ケイゾクヨテイ</t>
    </rPh>
    <phoneticPr fontId="1"/>
  </si>
  <si>
    <t>野村不動産</t>
    <rPh sb="0" eb="5">
      <t>ノムラフドウサン</t>
    </rPh>
    <phoneticPr fontId="0"/>
  </si>
  <si>
    <t>財務諸表統合BI</t>
    <rPh sb="0" eb="4">
      <t>ザイムショヒョウ</t>
    </rPh>
    <rPh sb="4" eb="6">
      <t>トウゴウ</t>
    </rPh>
    <phoneticPr fontId="2"/>
  </si>
  <si>
    <t>10月11月　※金額はこれから</t>
    <rPh sb="2" eb="3">
      <t>ガツ</t>
    </rPh>
    <rPh sb="5" eb="6">
      <t>ガツ</t>
    </rPh>
    <rPh sb="8" eb="10">
      <t>キンガク</t>
    </rPh>
    <phoneticPr fontId="1"/>
  </si>
  <si>
    <t>多ケ谷</t>
    <rPh sb="0" eb="3">
      <t>タガヤ</t>
    </rPh>
    <phoneticPr fontId="1"/>
  </si>
  <si>
    <t>▲提案</t>
    <rPh sb="1" eb="3">
      <t>テイアン</t>
    </rPh>
    <phoneticPr fontId="1"/>
  </si>
  <si>
    <t>海外案件管理システム</t>
    <rPh sb="0" eb="2">
      <t>カイガイ</t>
    </rPh>
    <rPh sb="2" eb="4">
      <t>アンケン</t>
    </rPh>
    <rPh sb="4" eb="6">
      <t>カンリ</t>
    </rPh>
    <phoneticPr fontId="1"/>
  </si>
  <si>
    <t>12月に入るかもしれないが基本は1月以降、コンペとのこと</t>
    <rPh sb="2" eb="3">
      <t>ガツ</t>
    </rPh>
    <rPh sb="4" eb="5">
      <t>ハイ</t>
    </rPh>
    <rPh sb="13" eb="15">
      <t>キホン</t>
    </rPh>
    <rPh sb="17" eb="18">
      <t>ガツ</t>
    </rPh>
    <rPh sb="18" eb="20">
      <t>イコウ</t>
    </rPh>
    <phoneticPr fontId="1"/>
  </si>
  <si>
    <t>▲案件説明</t>
    <rPh sb="1" eb="3">
      <t>アンケン</t>
    </rPh>
    <rPh sb="3" eb="5">
      <t>セツメイ</t>
    </rPh>
    <phoneticPr fontId="1"/>
  </si>
  <si>
    <t>11月に提案・コンペの</t>
    <rPh sb="2" eb="3">
      <t>ガツ</t>
    </rPh>
    <rPh sb="4" eb="6">
      <t>テイアン</t>
    </rPh>
    <phoneticPr fontId="1"/>
  </si>
  <si>
    <t>LIXIL</t>
    <phoneticPr fontId="1"/>
  </si>
  <si>
    <t>AIOCR</t>
    <phoneticPr fontId="1"/>
  </si>
  <si>
    <r>
      <t>多ケ谷さん提案継続。11月から0.1程度で支援開始、結果待ち</t>
    </r>
    <r>
      <rPr>
        <sz val="11"/>
        <color rgb="FFFF0000"/>
        <rFont val="Yu Gothic UI"/>
        <family val="3"/>
        <charset val="128"/>
      </rPr>
      <t>→失注</t>
    </r>
    <rPh sb="5" eb="9">
      <t>テイアンケイゾク</t>
    </rPh>
    <rPh sb="12" eb="13">
      <t>ガツ</t>
    </rPh>
    <rPh sb="18" eb="20">
      <t>テイド</t>
    </rPh>
    <rPh sb="21" eb="23">
      <t>シエン</t>
    </rPh>
    <rPh sb="23" eb="25">
      <t>カイシ</t>
    </rPh>
    <rPh sb="26" eb="29">
      <t>ケッカマ</t>
    </rPh>
    <rPh sb="31" eb="33">
      <t>シッチュウ</t>
    </rPh>
    <phoneticPr fontId="1"/>
  </si>
  <si>
    <t>多ケ谷</t>
  </si>
  <si>
    <t>三菱食品</t>
    <rPh sb="0" eb="4">
      <t>ミツビシショクヒン</t>
    </rPh>
    <phoneticPr fontId="1"/>
  </si>
  <si>
    <t>BX-BXのABR（河合さんより）</t>
    <rPh sb="10" eb="12">
      <t>カワイ</t>
    </rPh>
    <phoneticPr fontId="1"/>
  </si>
  <si>
    <t>多ケ谷さんが11月～12月で0.1</t>
    <rPh sb="8" eb="9">
      <t>ガツ</t>
    </rPh>
    <rPh sb="12" eb="13">
      <t>ガツ</t>
    </rPh>
    <phoneticPr fontId="1"/>
  </si>
  <si>
    <t>LIXIL</t>
  </si>
  <si>
    <t>深谷工場運用保守</t>
  </si>
  <si>
    <t>FSJにて対応している案件が炎上、管理者として多ケ谷さんが少ない稼働で入る。8月開始</t>
    <rPh sb="5" eb="7">
      <t>タイオウ</t>
    </rPh>
    <rPh sb="11" eb="13">
      <t>アンケン</t>
    </rPh>
    <rPh sb="14" eb="16">
      <t>エンジョウ</t>
    </rPh>
    <rPh sb="17" eb="20">
      <t>カンリシャ</t>
    </rPh>
    <rPh sb="23" eb="26">
      <t>タガヤ</t>
    </rPh>
    <rPh sb="29" eb="30">
      <t>スク</t>
    </rPh>
    <rPh sb="32" eb="34">
      <t>カドウ</t>
    </rPh>
    <rPh sb="35" eb="36">
      <t>ハイ</t>
    </rPh>
    <rPh sb="39" eb="40">
      <t>ガツ</t>
    </rPh>
    <rPh sb="40" eb="42">
      <t>カイシ</t>
    </rPh>
    <phoneticPr fontId="1"/>
  </si>
  <si>
    <t>製造IT</t>
    <rPh sb="0" eb="2">
      <t>セイゾウ</t>
    </rPh>
    <phoneticPr fontId="1"/>
  </si>
  <si>
    <t>製造T</t>
    <rPh sb="0" eb="2">
      <t>セイゾウ</t>
    </rPh>
    <phoneticPr fontId="0"/>
  </si>
  <si>
    <t>Daifuku Co., Ltd.</t>
  </si>
  <si>
    <t>3D CADチェックツール開発(第二弾)</t>
  </si>
  <si>
    <t>9月分対応完了</t>
    <rPh sb="1" eb="3">
      <t>ガツブン</t>
    </rPh>
    <rPh sb="3" eb="5">
      <t>タイオウ</t>
    </rPh>
    <rPh sb="5" eb="7">
      <t>カンリョウ</t>
    </rPh>
    <phoneticPr fontId="1"/>
  </si>
  <si>
    <t>川口</t>
    <rPh sb="0" eb="2">
      <t>カワグチ</t>
    </rPh>
    <phoneticPr fontId="1"/>
  </si>
  <si>
    <t>■新規BPOを中心に積み上げ中</t>
    <rPh sb="1" eb="3">
      <t>シンキ</t>
    </rPh>
    <rPh sb="7" eb="9">
      <t>チュウシン</t>
    </rPh>
    <rPh sb="10" eb="11">
      <t>ツ</t>
    </rPh>
    <rPh sb="12" eb="13">
      <t>ア</t>
    </rPh>
    <rPh sb="14" eb="15">
      <t>チュウ</t>
    </rPh>
    <phoneticPr fontId="1"/>
  </si>
  <si>
    <t>製造</t>
    <rPh sb="0" eb="2">
      <t>セイゾウ</t>
    </rPh>
    <phoneticPr fontId="1"/>
  </si>
  <si>
    <t>AIものづくり支援環境構築</t>
  </si>
  <si>
    <t>継続</t>
    <rPh sb="0" eb="2">
      <t>ケイゾク</t>
    </rPh>
    <phoneticPr fontId="2"/>
  </si>
  <si>
    <t>10-12月分受注済。対応中</t>
    <rPh sb="5" eb="7">
      <t>ガツブン</t>
    </rPh>
    <rPh sb="7" eb="9">
      <t>ジュチュウ</t>
    </rPh>
    <rPh sb="9" eb="10">
      <t>スミ</t>
    </rPh>
    <rPh sb="11" eb="14">
      <t>タイオウチュウ</t>
    </rPh>
    <phoneticPr fontId="2"/>
  </si>
  <si>
    <t>臼井、方</t>
    <rPh sb="0" eb="2">
      <t>ウスイ</t>
    </rPh>
    <rPh sb="3" eb="4">
      <t>ホウ</t>
    </rPh>
    <phoneticPr fontId="1"/>
  </si>
  <si>
    <t>Plan1.3</t>
    <phoneticPr fontId="2"/>
  </si>
  <si>
    <t>Daiwa House</t>
  </si>
  <si>
    <t>大和ハウス DTMSカスタマイズ・導入支援</t>
  </si>
  <si>
    <t>DTMSカスタマイズBPO→失注（保留）</t>
    <rPh sb="14" eb="16">
      <t>シッチュウ</t>
    </rPh>
    <rPh sb="17" eb="19">
      <t>ホリュウ</t>
    </rPh>
    <phoneticPr fontId="1"/>
  </si>
  <si>
    <t>ー</t>
    <phoneticPr fontId="1"/>
  </si>
  <si>
    <t>大和ハウス　AI支援</t>
  </si>
  <si>
    <t>反応なくいったん保留</t>
    <rPh sb="0" eb="2">
      <t>ハンノウ</t>
    </rPh>
    <rPh sb="8" eb="10">
      <t>ホリュウ</t>
    </rPh>
    <phoneticPr fontId="1"/>
  </si>
  <si>
    <t>IODATA</t>
  </si>
  <si>
    <t>PM/PL要員育成ロードマップ作成、教育支援</t>
  </si>
  <si>
    <t>予算確保済。担当者変更。来年度以降に再提案</t>
    <rPh sb="0" eb="2">
      <t>ヨサン</t>
    </rPh>
    <rPh sb="2" eb="4">
      <t>カクホ</t>
    </rPh>
    <rPh sb="4" eb="5">
      <t>スミ</t>
    </rPh>
    <rPh sb="6" eb="9">
      <t>タントウシャ</t>
    </rPh>
    <rPh sb="9" eb="11">
      <t>ヘンコウ</t>
    </rPh>
    <rPh sb="12" eb="15">
      <t>ライネンド</t>
    </rPh>
    <rPh sb="15" eb="17">
      <t>イコウ</t>
    </rPh>
    <rPh sb="18" eb="21">
      <t>サイテイアン</t>
    </rPh>
    <phoneticPr fontId="1"/>
  </si>
  <si>
    <t>臼井</t>
    <rPh sb="0" eb="2">
      <t>ウスイ</t>
    </rPh>
    <phoneticPr fontId="1"/>
  </si>
  <si>
    <t>Mitsubishi UFJ Trust System</t>
  </si>
  <si>
    <t>UiPath開発</t>
    <rPh sb="6" eb="8">
      <t>カイハツ</t>
    </rPh>
    <phoneticPr fontId="0"/>
  </si>
  <si>
    <t>26年4月以降。社内で対応を検討する（ホアンさん対応待ち）</t>
    <rPh sb="2" eb="3">
      <t>ネン</t>
    </rPh>
    <rPh sb="4" eb="5">
      <t>ガツ</t>
    </rPh>
    <rPh sb="5" eb="7">
      <t>イコウ</t>
    </rPh>
    <rPh sb="8" eb="10">
      <t>シャナイ</t>
    </rPh>
    <rPh sb="11" eb="13">
      <t>タイオウ</t>
    </rPh>
    <rPh sb="14" eb="16">
      <t>ケントウ</t>
    </rPh>
    <rPh sb="24" eb="26">
      <t>タイオウ</t>
    </rPh>
    <rPh sb="26" eb="27">
      <t>マ</t>
    </rPh>
    <phoneticPr fontId="1"/>
  </si>
  <si>
    <t>鷹野、松田</t>
    <rPh sb="0" eb="2">
      <t>タカノ</t>
    </rPh>
    <rPh sb="3" eb="5">
      <t>マツダ</t>
    </rPh>
    <phoneticPr fontId="1"/>
  </si>
  <si>
    <t>YKK AP Inc.</t>
  </si>
  <si>
    <t>YKKAP_次期AP-CADシステム刷新_開発フェーズ</t>
  </si>
  <si>
    <t>11月-12月分（PoC2）を受注。11/10キックオフ・懇親会</t>
    <rPh sb="2" eb="3">
      <t>ガツ</t>
    </rPh>
    <rPh sb="6" eb="7">
      <t>ガツ</t>
    </rPh>
    <rPh sb="7" eb="8">
      <t>ブン</t>
    </rPh>
    <rPh sb="15" eb="17">
      <t>ジュチュウ</t>
    </rPh>
    <rPh sb="29" eb="32">
      <t>コンシンカイ</t>
    </rPh>
    <phoneticPr fontId="1"/>
  </si>
  <si>
    <t>オリックス銀行株式会社</t>
  </si>
  <si>
    <t>RPA運用支援＆akaBot検証</t>
  </si>
  <si>
    <t>12月まで契約済。低利益率のため、来年度の対応を要検討</t>
    <rPh sb="2" eb="3">
      <t>ガツ</t>
    </rPh>
    <rPh sb="5" eb="7">
      <t>ケイヤク</t>
    </rPh>
    <rPh sb="7" eb="8">
      <t>スミ</t>
    </rPh>
    <rPh sb="9" eb="13">
      <t>テイリエキリツ</t>
    </rPh>
    <rPh sb="17" eb="20">
      <t>ライネンド</t>
    </rPh>
    <rPh sb="21" eb="23">
      <t>タイオウ</t>
    </rPh>
    <rPh sb="24" eb="27">
      <t>ヨウケントウ</t>
    </rPh>
    <phoneticPr fontId="1"/>
  </si>
  <si>
    <t>バンクス、BP</t>
    <phoneticPr fontId="1"/>
  </si>
  <si>
    <t>※7月分調整入っている</t>
    <rPh sb="2" eb="4">
      <t>ガツブン</t>
    </rPh>
    <rPh sb="4" eb="6">
      <t>チョウセイ</t>
    </rPh>
    <rPh sb="6" eb="7">
      <t>ハイ</t>
    </rPh>
    <phoneticPr fontId="1"/>
  </si>
  <si>
    <t>製造T</t>
    <rPh sb="0" eb="2">
      <t>セイゾウ</t>
    </rPh>
    <phoneticPr fontId="2"/>
  </si>
  <si>
    <t>野村不動産</t>
    <rPh sb="0" eb="5">
      <t>ノムラフドウサン</t>
    </rPh>
    <phoneticPr fontId="2"/>
  </si>
  <si>
    <t>営業支援ツール</t>
    <rPh sb="0" eb="2">
      <t>エイギョウ</t>
    </rPh>
    <rPh sb="2" eb="4">
      <t>シエン</t>
    </rPh>
    <phoneticPr fontId="2"/>
  </si>
  <si>
    <t>方</t>
    <rPh sb="0" eb="1">
      <t>ホウ</t>
    </rPh>
    <phoneticPr fontId="1"/>
  </si>
  <si>
    <t>営業支援ツール2期</t>
  </si>
  <si>
    <t>９月、１０月案件拡大</t>
  </si>
  <si>
    <t>BPO業務自動化支援</t>
    <rPh sb="3" eb="5">
      <t>ギョウム</t>
    </rPh>
    <rPh sb="5" eb="8">
      <t>ジドウカ</t>
    </rPh>
    <rPh sb="8" eb="10">
      <t>シエン</t>
    </rPh>
    <phoneticPr fontId="0"/>
  </si>
  <si>
    <t>10月分までは完了</t>
    <rPh sb="2" eb="4">
      <t>ガツブン</t>
    </rPh>
    <rPh sb="7" eb="9">
      <t>カンリョウ</t>
    </rPh>
    <phoneticPr fontId="1"/>
  </si>
  <si>
    <t>11月以降分を調整中</t>
    <rPh sb="2" eb="3">
      <t>ガツ</t>
    </rPh>
    <rPh sb="3" eb="5">
      <t>イコウ</t>
    </rPh>
    <rPh sb="5" eb="6">
      <t>ブン</t>
    </rPh>
    <rPh sb="7" eb="9">
      <t>チョウセイ</t>
    </rPh>
    <rPh sb="9" eb="10">
      <t>ナカ</t>
    </rPh>
    <phoneticPr fontId="1"/>
  </si>
  <si>
    <t>DKI（ダイキン情報システム）</t>
    <rPh sb="8" eb="10">
      <t>ジョウホウ</t>
    </rPh>
    <phoneticPr fontId="0"/>
  </si>
  <si>
    <t>akaBot支援</t>
    <rPh sb="6" eb="8">
      <t>シエン</t>
    </rPh>
    <phoneticPr fontId="0"/>
  </si>
  <si>
    <t>7/3訪問、打合せ→保留　</t>
    <rPh sb="10" eb="12">
      <t>ホリュウ</t>
    </rPh>
    <phoneticPr fontId="1"/>
  </si>
  <si>
    <t>ヤンマー</t>
  </si>
  <si>
    <t>PLM(Windchill）周辺システム開発</t>
    <rPh sb="14" eb="16">
      <t>シュウヘン</t>
    </rPh>
    <rPh sb="20" eb="22">
      <t>カイハツ</t>
    </rPh>
    <phoneticPr fontId="0"/>
  </si>
  <si>
    <t>11月開始が遅れ。GMGと調整中</t>
    <rPh sb="2" eb="3">
      <t>ガツ</t>
    </rPh>
    <rPh sb="3" eb="5">
      <t>カイシ</t>
    </rPh>
    <rPh sb="6" eb="7">
      <t>オク</t>
    </rPh>
    <rPh sb="13" eb="15">
      <t>チョウセイ</t>
    </rPh>
    <rPh sb="15" eb="16">
      <t>ナカ</t>
    </rPh>
    <phoneticPr fontId="1"/>
  </si>
  <si>
    <t>Siemens</t>
  </si>
  <si>
    <t>NX/Teamcenter支援（バルミューダ）</t>
    <rPh sb="13" eb="15">
      <t>シエン</t>
    </rPh>
    <phoneticPr fontId="0"/>
  </si>
  <si>
    <t>ライセンス売上計上。その他バルミューダから有償技術支援の相談があり、調整中</t>
    <rPh sb="5" eb="7">
      <t>ウリアゲ</t>
    </rPh>
    <rPh sb="7" eb="9">
      <t>ケイジョウ</t>
    </rPh>
    <rPh sb="12" eb="13">
      <t>タ</t>
    </rPh>
    <rPh sb="21" eb="23">
      <t>ユウショウ</t>
    </rPh>
    <rPh sb="23" eb="25">
      <t>ギジュツ</t>
    </rPh>
    <rPh sb="25" eb="27">
      <t>シエン</t>
    </rPh>
    <rPh sb="28" eb="30">
      <t>ソウダン</t>
    </rPh>
    <rPh sb="34" eb="36">
      <t>チョウセイ</t>
    </rPh>
    <rPh sb="36" eb="37">
      <t>ナカ</t>
    </rPh>
    <phoneticPr fontId="1"/>
  </si>
  <si>
    <t>チーム合計</t>
    <rPh sb="3" eb="5">
      <t>ゴウケイ</t>
    </rPh>
    <phoneticPr fontId="1"/>
  </si>
  <si>
    <t>Plan1.3比はInfluence込み</t>
    <rPh sb="7" eb="8">
      <t>ヒ</t>
    </rPh>
    <rPh sb="18" eb="19">
      <t>コ</t>
    </rPh>
    <phoneticPr fontId="1"/>
  </si>
  <si>
    <t>アウトソーシング</t>
  </si>
  <si>
    <t>人材派遣　提案支援</t>
  </si>
  <si>
    <t>6/27提案書提出 →ロスト（Sun Astrriskが受注）</t>
    <rPh sb="28" eb="30">
      <t>ジュチュウ</t>
    </rPh>
    <phoneticPr fontId="1"/>
  </si>
  <si>
    <t>ダイキン</t>
    <phoneticPr fontId="1"/>
  </si>
  <si>
    <t>グローバルデータ基盤構築</t>
    <rPh sb="8" eb="10">
      <t>キバン</t>
    </rPh>
    <rPh sb="10" eb="12">
      <t>コウチク</t>
    </rPh>
    <phoneticPr fontId="1"/>
  </si>
  <si>
    <t>2026年4月以降にインプリ提案。下期も案件ないかを相談する</t>
    <rPh sb="4" eb="5">
      <t>ネン</t>
    </rPh>
    <rPh sb="6" eb="9">
      <t>ガツイコウ</t>
    </rPh>
    <rPh sb="14" eb="16">
      <t>テイアン</t>
    </rPh>
    <rPh sb="17" eb="19">
      <t>シモキ</t>
    </rPh>
    <rPh sb="20" eb="22">
      <t>アンケン</t>
    </rPh>
    <rPh sb="26" eb="28">
      <t>ソウダン</t>
    </rPh>
    <phoneticPr fontId="1"/>
  </si>
  <si>
    <t>PLMコンサル</t>
    <phoneticPr fontId="0"/>
  </si>
  <si>
    <t>稼働中。10-11月受注済。対応中</t>
    <rPh sb="0" eb="3">
      <t>カドウチュウ</t>
    </rPh>
    <rPh sb="9" eb="10">
      <t>ガツ</t>
    </rPh>
    <rPh sb="10" eb="13">
      <t>ジュチュウスミ</t>
    </rPh>
    <rPh sb="14" eb="17">
      <t>タイオウチュウ</t>
    </rPh>
    <phoneticPr fontId="1"/>
  </si>
  <si>
    <t>臼井、BP</t>
    <rPh sb="0" eb="2">
      <t>ウスイ</t>
    </rPh>
    <phoneticPr fontId="1"/>
  </si>
  <si>
    <t>PLMコンサル</t>
    <phoneticPr fontId="2"/>
  </si>
  <si>
    <t>12月継続提案（11月中）</t>
    <rPh sb="2" eb="5">
      <t>ガツケイゾク</t>
    </rPh>
    <rPh sb="5" eb="7">
      <t>テイアン</t>
    </rPh>
    <rPh sb="10" eb="11">
      <t>ガツ</t>
    </rPh>
    <rPh sb="11" eb="12">
      <t>チュウ</t>
    </rPh>
    <phoneticPr fontId="1"/>
  </si>
  <si>
    <t>DNP</t>
    <phoneticPr fontId="1"/>
  </si>
  <si>
    <t>DNPのBPO業務</t>
    <phoneticPr fontId="0"/>
  </si>
  <si>
    <t>提案先組織変更で再調整</t>
    <rPh sb="0" eb="3">
      <t>テイアンサキ</t>
    </rPh>
    <rPh sb="3" eb="5">
      <t>ソシキ</t>
    </rPh>
    <rPh sb="5" eb="7">
      <t>ヘンコウ</t>
    </rPh>
    <rPh sb="8" eb="11">
      <t>サイチョウセイ</t>
    </rPh>
    <phoneticPr fontId="1"/>
  </si>
  <si>
    <t>鷹野、川口、BP</t>
    <rPh sb="0" eb="2">
      <t>タカノ</t>
    </rPh>
    <rPh sb="3" eb="5">
      <t>カワグチ</t>
    </rPh>
    <phoneticPr fontId="1"/>
  </si>
  <si>
    <t>SCSK</t>
    <phoneticPr fontId="1"/>
  </si>
  <si>
    <t>BPR案件、DXチームからの引継ぎ。</t>
    <phoneticPr fontId="0"/>
  </si>
  <si>
    <t>臼井、松田</t>
    <rPh sb="0" eb="2">
      <t>ウスイ</t>
    </rPh>
    <rPh sb="3" eb="5">
      <t>マツダ</t>
    </rPh>
    <phoneticPr fontId="1"/>
  </si>
  <si>
    <t>BPR案件、DXチームからの引継ぎ。</t>
    <phoneticPr fontId="2"/>
  </si>
  <si>
    <t>稼働中。11/6に最終報告会、次期提案予定</t>
    <rPh sb="0" eb="3">
      <t>カドウチュウ</t>
    </rPh>
    <rPh sb="9" eb="14">
      <t>サイシュウホウコクカイ</t>
    </rPh>
    <rPh sb="15" eb="17">
      <t>ジキ</t>
    </rPh>
    <rPh sb="17" eb="19">
      <t>テイアン</t>
    </rPh>
    <rPh sb="19" eb="21">
      <t>ヨテイ</t>
    </rPh>
    <phoneticPr fontId="1"/>
  </si>
  <si>
    <t>ITEC阪急阪神</t>
  </si>
  <si>
    <t>i-PLAT調査、導入支援</t>
    <rPh sb="6" eb="8">
      <t>チョウサ</t>
    </rPh>
    <rPh sb="9" eb="11">
      <t>ドウニュウ</t>
    </rPh>
    <rPh sb="11" eb="13">
      <t>シエン</t>
    </rPh>
    <phoneticPr fontId="0"/>
  </si>
  <si>
    <t>2500万、コンサル1140万円、10月中旬開始予定→9/30失注</t>
    <rPh sb="4" eb="5">
      <t>マン</t>
    </rPh>
    <rPh sb="14" eb="16">
      <t>マンエン</t>
    </rPh>
    <rPh sb="19" eb="22">
      <t>ガツチュウジュン</t>
    </rPh>
    <rPh sb="22" eb="24">
      <t>カイシ</t>
    </rPh>
    <rPh sb="24" eb="26">
      <t>ヨテイ</t>
    </rPh>
    <rPh sb="31" eb="33">
      <t>シッチュウ</t>
    </rPh>
    <phoneticPr fontId="1"/>
  </si>
  <si>
    <t>KMI</t>
    <phoneticPr fontId="1"/>
  </si>
  <si>
    <t>KMI_コンカレントECM</t>
    <phoneticPr fontId="0"/>
  </si>
  <si>
    <t>稼働中。マレーシアの生産拠点DXをテーマに打合せ</t>
    <rPh sb="0" eb="3">
      <t>カドウチュウ</t>
    </rPh>
    <rPh sb="10" eb="12">
      <t>セイサン</t>
    </rPh>
    <rPh sb="12" eb="14">
      <t>キョテン</t>
    </rPh>
    <rPh sb="21" eb="23">
      <t>ウチアワ</t>
    </rPh>
    <phoneticPr fontId="1"/>
  </si>
  <si>
    <t>ELECOM</t>
    <phoneticPr fontId="1"/>
  </si>
  <si>
    <t>SSC PoC開発支援</t>
    <rPh sb="7" eb="9">
      <t>カイハツ</t>
    </rPh>
    <rPh sb="9" eb="11">
      <t>シエン</t>
    </rPh>
    <phoneticPr fontId="0"/>
  </si>
  <si>
    <t>10/1提案→10/6内示。10/16プロジェクト開始</t>
    <rPh sb="4" eb="6">
      <t>テイアン</t>
    </rPh>
    <rPh sb="11" eb="13">
      <t>ナイジ</t>
    </rPh>
    <rPh sb="25" eb="27">
      <t>カイシ</t>
    </rPh>
    <phoneticPr fontId="1"/>
  </si>
  <si>
    <t>SB C&amp;S（ICT事業本部）</t>
    <rPh sb="10" eb="14">
      <t>ジギョウホンブ</t>
    </rPh>
    <phoneticPr fontId="2"/>
  </si>
  <si>
    <t>10/6提案書送付済（947～1280万円。松竹梅の見積提示）提案書提出済</t>
    <rPh sb="4" eb="7">
      <t>テイアンショ</t>
    </rPh>
    <rPh sb="7" eb="9">
      <t>ソウフ</t>
    </rPh>
    <rPh sb="9" eb="10">
      <t>スミ</t>
    </rPh>
    <rPh sb="19" eb="21">
      <t>マンエン</t>
    </rPh>
    <rPh sb="22" eb="25">
      <t>ショウチクバイ</t>
    </rPh>
    <rPh sb="26" eb="28">
      <t>ミツモリ</t>
    </rPh>
    <rPh sb="28" eb="30">
      <t>テイジ</t>
    </rPh>
    <phoneticPr fontId="1"/>
  </si>
  <si>
    <t>SB C&amp;S（田中ICO/情シス本部長）</t>
    <rPh sb="7" eb="9">
      <t>タナカ</t>
    </rPh>
    <rPh sb="13" eb="14">
      <t>ジョウ</t>
    </rPh>
    <rPh sb="16" eb="19">
      <t>ホンブチョウ</t>
    </rPh>
    <phoneticPr fontId="2"/>
  </si>
  <si>
    <t>10/6週以降でRFPを受領予定。提案書提出済</t>
    <rPh sb="4" eb="7">
      <t>シュウイコウ</t>
    </rPh>
    <rPh sb="12" eb="14">
      <t>ジュリョウ</t>
    </rPh>
    <rPh sb="14" eb="16">
      <t>ヨテイ</t>
    </rPh>
    <rPh sb="17" eb="19">
      <t>テイアン</t>
    </rPh>
    <rPh sb="19" eb="20">
      <t>ショ</t>
    </rPh>
    <rPh sb="20" eb="22">
      <t>テイシュツ</t>
    </rPh>
    <rPh sb="22" eb="23">
      <t>スミ</t>
    </rPh>
    <phoneticPr fontId="1"/>
  </si>
  <si>
    <t>デロイト協業（Akila）</t>
    <rPh sb="4" eb="6">
      <t>キョウギョウ</t>
    </rPh>
    <phoneticPr fontId="2"/>
  </si>
  <si>
    <t>10/17：NDA締結中　</t>
    <rPh sb="9" eb="12">
      <t>テイケツチュウ</t>
    </rPh>
    <phoneticPr fontId="1"/>
  </si>
  <si>
    <t>O</t>
    <phoneticPr fontId="1"/>
  </si>
  <si>
    <t>デロイト協業（基幹）</t>
    <rPh sb="4" eb="6">
      <t>キョウギョウ</t>
    </rPh>
    <rPh sb="7" eb="9">
      <t>キカン</t>
    </rPh>
    <phoneticPr fontId="2"/>
  </si>
  <si>
    <t>オムロン</t>
    <phoneticPr fontId="1"/>
  </si>
  <si>
    <t>シマノ</t>
    <phoneticPr fontId="1"/>
  </si>
  <si>
    <t>役員への提案からなので案件化には時間がかかるFY26案件か</t>
    <rPh sb="0" eb="2">
      <t>ヤクイン</t>
    </rPh>
    <rPh sb="4" eb="6">
      <t>テイアン</t>
    </rPh>
    <rPh sb="11" eb="14">
      <t>アンケンカ</t>
    </rPh>
    <rPh sb="16" eb="18">
      <t>ジカン</t>
    </rPh>
    <rPh sb="26" eb="28">
      <t>アンケン</t>
    </rPh>
    <phoneticPr fontId="1"/>
  </si>
  <si>
    <t>竹中工務店関連1</t>
    <rPh sb="0" eb="5">
      <t>タケナカコウムテン</t>
    </rPh>
    <rPh sb="5" eb="7">
      <t>カンレン</t>
    </rPh>
    <phoneticPr fontId="1"/>
  </si>
  <si>
    <t>AI戦略策定</t>
    <rPh sb="2" eb="4">
      <t>センリャク</t>
    </rPh>
    <rPh sb="4" eb="6">
      <t>サクテイ</t>
    </rPh>
    <phoneticPr fontId="1"/>
  </si>
  <si>
    <t>八巻さんTからの紹介</t>
    <rPh sb="0" eb="2">
      <t>ヤマキ</t>
    </rPh>
    <rPh sb="8" eb="10">
      <t>ショウカイ</t>
    </rPh>
    <phoneticPr fontId="1"/>
  </si>
  <si>
    <t>竹中工務店関連2</t>
    <rPh sb="0" eb="5">
      <t>タケナカコウムテン</t>
    </rPh>
    <rPh sb="5" eb="7">
      <t>カンレン</t>
    </rPh>
    <phoneticPr fontId="1"/>
  </si>
  <si>
    <t>7月</t>
  </si>
  <si>
    <t>8月</t>
  </si>
  <si>
    <t>9月</t>
  </si>
  <si>
    <t>10月</t>
  </si>
  <si>
    <t>11月</t>
  </si>
  <si>
    <t>12月</t>
  </si>
  <si>
    <t>Plan1.0比はInfluence抜き</t>
    <rPh sb="7" eb="8">
      <t>ヒ</t>
    </rPh>
    <rPh sb="18" eb="19">
      <t>ヌ</t>
    </rPh>
    <phoneticPr fontId="1"/>
  </si>
  <si>
    <t>Plan1.0比</t>
  </si>
  <si>
    <t>Plan1.0</t>
  </si>
  <si>
    <t>10/17現調実施。11月契約12月稼働開始で調整中（12月～2月）</t>
    <rPh sb="5" eb="7">
      <t>ゲンチョウ</t>
    </rPh>
    <rPh sb="7" eb="9">
      <t>ジッシ</t>
    </rPh>
    <rPh sb="12" eb="13">
      <t>ガツ</t>
    </rPh>
    <rPh sb="13" eb="15">
      <t>ケイヤク</t>
    </rPh>
    <rPh sb="17" eb="18">
      <t>ガツ</t>
    </rPh>
    <rPh sb="18" eb="22">
      <t>カドウカイシ</t>
    </rPh>
    <rPh sb="23" eb="26">
      <t>チョウセイチュウ</t>
    </rPh>
    <rPh sb="29" eb="30">
      <t>ガツ</t>
    </rPh>
    <rPh sb="32" eb="33">
      <t>ガツ</t>
    </rPh>
    <phoneticPr fontId="1"/>
  </si>
  <si>
    <t>業務調査、要件整理</t>
    <rPh sb="0" eb="4">
      <t>ギョウムチョウサ</t>
    </rPh>
    <rPh sb="5" eb="9">
      <t>ヨウケンセイリ</t>
    </rPh>
    <phoneticPr fontId="1"/>
  </si>
  <si>
    <t>AA望月社長からの紹介、10/6提案、ほぼ確定。先方稟申中。10/20TEL予定</t>
    <rPh sb="2" eb="6">
      <t>モチヅキシャチョウ</t>
    </rPh>
    <rPh sb="9" eb="11">
      <t>ショウカイ</t>
    </rPh>
    <rPh sb="16" eb="18">
      <t>テイアン</t>
    </rPh>
    <rPh sb="21" eb="23">
      <t>カクテイ</t>
    </rPh>
    <rPh sb="24" eb="26">
      <t>センポウ</t>
    </rPh>
    <rPh sb="26" eb="29">
      <t>リンシンチュウ</t>
    </rPh>
    <rPh sb="38" eb="40">
      <t>ヨテイ</t>
    </rPh>
    <phoneticPr fontId="1"/>
  </si>
  <si>
    <t>基幹刷新に伴うAA周辺システムの構築</t>
    <rPh sb="0" eb="4">
      <t>キカンサッシン</t>
    </rPh>
    <rPh sb="5" eb="6">
      <t>トモナ</t>
    </rPh>
    <rPh sb="9" eb="11">
      <t>シュウヘン</t>
    </rPh>
    <rPh sb="16" eb="18">
      <t>コウチク</t>
    </rPh>
    <phoneticPr fontId="1"/>
  </si>
  <si>
    <r>
      <t>多ケ谷さん提案継続。11月から0.1程度で支援開始、結果待ち</t>
    </r>
    <r>
      <rPr>
        <sz val="11"/>
        <color rgb="FFFF0000"/>
        <rFont val="Yu Gothic UI"/>
        <family val="3"/>
        <charset val="128"/>
      </rPr>
      <t>→確度低下</t>
    </r>
    <rPh sb="5" eb="9">
      <t>テイアンケイゾク</t>
    </rPh>
    <rPh sb="12" eb="13">
      <t>ガツ</t>
    </rPh>
    <rPh sb="18" eb="20">
      <t>テイド</t>
    </rPh>
    <rPh sb="21" eb="23">
      <t>シエン</t>
    </rPh>
    <rPh sb="23" eb="25">
      <t>カイシ</t>
    </rPh>
    <rPh sb="26" eb="29">
      <t>ケッカマ</t>
    </rPh>
    <rPh sb="31" eb="33">
      <t>カクド</t>
    </rPh>
    <rPh sb="33" eb="35">
      <t>テイカ</t>
    </rPh>
    <phoneticPr fontId="1"/>
  </si>
  <si>
    <t>D</t>
    <phoneticPr fontId="1"/>
  </si>
  <si>
    <t>7/15見積送付済。発注待ち</t>
    <rPh sb="4" eb="6">
      <t>ミツモリ</t>
    </rPh>
    <rPh sb="6" eb="8">
      <t>ソウフ</t>
    </rPh>
    <rPh sb="8" eb="9">
      <t>スミ</t>
    </rPh>
    <rPh sb="10" eb="12">
      <t>ハッチュウ</t>
    </rPh>
    <rPh sb="12" eb="13">
      <t>マ</t>
    </rPh>
    <phoneticPr fontId="1"/>
  </si>
  <si>
    <t>継続対応中（9月分まで受注済）10月以降提案準備</t>
    <rPh sb="0" eb="2">
      <t>ケイゾク</t>
    </rPh>
    <rPh sb="2" eb="5">
      <t>タイオウチュウ</t>
    </rPh>
    <rPh sb="7" eb="8">
      <t>ガツ</t>
    </rPh>
    <rPh sb="8" eb="9">
      <t>ブン</t>
    </rPh>
    <rPh sb="11" eb="14">
      <t>ジュチュウスミ</t>
    </rPh>
    <rPh sb="17" eb="20">
      <t>ガツイコウ</t>
    </rPh>
    <rPh sb="20" eb="22">
      <t>テイアン</t>
    </rPh>
    <rPh sb="22" eb="24">
      <t>ジュンビ</t>
    </rPh>
    <phoneticPr fontId="2"/>
  </si>
  <si>
    <t>NDA締結し、PoC提案中</t>
    <rPh sb="3" eb="5">
      <t>テイケツ</t>
    </rPh>
    <rPh sb="10" eb="12">
      <t>テイアン</t>
    </rPh>
    <rPh sb="12" eb="13">
      <t>ナカ</t>
    </rPh>
    <phoneticPr fontId="1"/>
  </si>
  <si>
    <t>予算確保済。担当者変更。後任と10/2打合せ</t>
    <rPh sb="0" eb="2">
      <t>ヨサン</t>
    </rPh>
    <rPh sb="2" eb="4">
      <t>カクホ</t>
    </rPh>
    <rPh sb="4" eb="5">
      <t>スミ</t>
    </rPh>
    <rPh sb="6" eb="9">
      <t>タントウシャ</t>
    </rPh>
    <rPh sb="9" eb="11">
      <t>ヘンコウ</t>
    </rPh>
    <rPh sb="12" eb="14">
      <t>コウニン</t>
    </rPh>
    <rPh sb="19" eb="21">
      <t>ウチアワ</t>
    </rPh>
    <phoneticPr fontId="1"/>
  </si>
  <si>
    <t>7/7見積提示済。10月開始予定（他社UiPath案件が先行しそう）</t>
    <rPh sb="3" eb="5">
      <t>ミツモリ</t>
    </rPh>
    <rPh sb="5" eb="7">
      <t>テイジ</t>
    </rPh>
    <rPh sb="7" eb="8">
      <t>スミ</t>
    </rPh>
    <rPh sb="11" eb="12">
      <t>ガツ</t>
    </rPh>
    <rPh sb="12" eb="14">
      <t>カイシ</t>
    </rPh>
    <rPh sb="14" eb="16">
      <t>ヨテイ</t>
    </rPh>
    <rPh sb="17" eb="19">
      <t>タシャ</t>
    </rPh>
    <rPh sb="25" eb="27">
      <t>アンケン</t>
    </rPh>
    <rPh sb="28" eb="30">
      <t>センコウ</t>
    </rPh>
    <phoneticPr fontId="1"/>
  </si>
  <si>
    <t>体制変更でYKKAP社内稟議　受注</t>
    <rPh sb="0" eb="2">
      <t>タイセイ</t>
    </rPh>
    <rPh sb="2" eb="4">
      <t>ヘンコウ</t>
    </rPh>
    <rPh sb="10" eb="14">
      <t>シャナイリンギ</t>
    </rPh>
    <rPh sb="15" eb="17">
      <t>ジュチュウ</t>
    </rPh>
    <phoneticPr fontId="1"/>
  </si>
  <si>
    <t>対応中（9月分まで受注済）増員提案実施</t>
    <rPh sb="0" eb="3">
      <t>タイオウチュウ</t>
    </rPh>
    <rPh sb="5" eb="7">
      <t>ガツブン</t>
    </rPh>
    <rPh sb="9" eb="12">
      <t>ジュチュウスミ</t>
    </rPh>
    <rPh sb="13" eb="15">
      <t>ゾウイン</t>
    </rPh>
    <rPh sb="15" eb="17">
      <t>テイアン</t>
    </rPh>
    <rPh sb="17" eb="19">
      <t>ジッシ</t>
    </rPh>
    <phoneticPr fontId="1"/>
  </si>
  <si>
    <t>受注確定。8-10月の体制と正式見積準備中。8月着手</t>
    <rPh sb="0" eb="2">
      <t>ジュチュウ</t>
    </rPh>
    <rPh sb="2" eb="4">
      <t>カクテイ</t>
    </rPh>
    <rPh sb="9" eb="10">
      <t>ガツ</t>
    </rPh>
    <rPh sb="11" eb="13">
      <t>タイセイ</t>
    </rPh>
    <rPh sb="14" eb="16">
      <t>セイシキ</t>
    </rPh>
    <rPh sb="16" eb="18">
      <t>ミツモリ</t>
    </rPh>
    <rPh sb="18" eb="20">
      <t>ジュンビ</t>
    </rPh>
    <rPh sb="20" eb="21">
      <t>チュウ</t>
    </rPh>
    <rPh sb="23" eb="24">
      <t>ガツ</t>
    </rPh>
    <rPh sb="24" eb="26">
      <t>チャクシュ</t>
    </rPh>
    <phoneticPr fontId="1"/>
  </si>
  <si>
    <t>11月以降の継続、オフショア分減額</t>
    <rPh sb="2" eb="3">
      <t>ガツ</t>
    </rPh>
    <rPh sb="3" eb="5">
      <t>イコウ</t>
    </rPh>
    <rPh sb="6" eb="8">
      <t>ケイゾク</t>
    </rPh>
    <rPh sb="14" eb="15">
      <t>ブン</t>
    </rPh>
    <rPh sb="15" eb="17">
      <t>ゲンガク</t>
    </rPh>
    <phoneticPr fontId="1"/>
  </si>
  <si>
    <t>GMGが案件受注8000万。11月開始。要件定義参画→増額の可能性有</t>
    <rPh sb="4" eb="6">
      <t>アンケン</t>
    </rPh>
    <rPh sb="6" eb="8">
      <t>ジュチュウ</t>
    </rPh>
    <rPh sb="12" eb="13">
      <t>マン</t>
    </rPh>
    <rPh sb="16" eb="17">
      <t>ガツ</t>
    </rPh>
    <rPh sb="17" eb="19">
      <t>カイシ</t>
    </rPh>
    <rPh sb="20" eb="24">
      <t>ヨウケンテイギ</t>
    </rPh>
    <rPh sb="24" eb="26">
      <t>サンカク</t>
    </rPh>
    <rPh sb="27" eb="29">
      <t>ゾウガク</t>
    </rPh>
    <rPh sb="30" eb="33">
      <t>カノウセイ</t>
    </rPh>
    <rPh sb="33" eb="34">
      <t>アリ</t>
    </rPh>
    <phoneticPr fontId="1"/>
  </si>
  <si>
    <t>7/8注文書受領→1,093,202円（ライセンス販売のみ）稼働中</t>
    <rPh sb="3" eb="6">
      <t>チュウモンショ</t>
    </rPh>
    <rPh sb="6" eb="8">
      <t>ジュリョウ</t>
    </rPh>
    <rPh sb="18" eb="19">
      <t>エン</t>
    </rPh>
    <rPh sb="25" eb="27">
      <t>ハンバイ</t>
    </rPh>
    <rPh sb="30" eb="33">
      <t>カドウチュウ</t>
    </rPh>
    <phoneticPr fontId="1"/>
  </si>
  <si>
    <t>Plan1.0比はInfluence込み</t>
    <rPh sb="7" eb="8">
      <t>ヒ</t>
    </rPh>
    <rPh sb="18" eb="19">
      <t>コ</t>
    </rPh>
    <phoneticPr fontId="1"/>
  </si>
  <si>
    <t>稼働中。10-11月受注済。別途PowerApps案件相談あり（年内対応）</t>
    <rPh sb="0" eb="3">
      <t>カドウチュウ</t>
    </rPh>
    <rPh sb="9" eb="10">
      <t>ガツ</t>
    </rPh>
    <rPh sb="10" eb="13">
      <t>ジュチュウスミ</t>
    </rPh>
    <rPh sb="14" eb="16">
      <t>ベット</t>
    </rPh>
    <rPh sb="25" eb="27">
      <t>アンケン</t>
    </rPh>
    <rPh sb="27" eb="29">
      <t>ソウダン</t>
    </rPh>
    <rPh sb="32" eb="34">
      <t>ネンナイ</t>
    </rPh>
    <rPh sb="34" eb="36">
      <t>タイオウ</t>
    </rPh>
    <phoneticPr fontId="1"/>
  </si>
  <si>
    <t>10/1提案→10/6内示。10/16プロジェクト開始予定（TCV995万円）</t>
    <rPh sb="4" eb="6">
      <t>テイアン</t>
    </rPh>
    <rPh sb="11" eb="13">
      <t>ナイジ</t>
    </rPh>
    <rPh sb="25" eb="27">
      <t>カイシ</t>
    </rPh>
    <rPh sb="27" eb="29">
      <t>ヨテイ</t>
    </rPh>
    <rPh sb="36" eb="38">
      <t>マンエン</t>
    </rPh>
    <phoneticPr fontId="1"/>
  </si>
  <si>
    <t>10/6提案書送付済（947～1280万円。松竹梅の見積提示）</t>
    <rPh sb="4" eb="7">
      <t>テイアンショ</t>
    </rPh>
    <rPh sb="7" eb="9">
      <t>ソウフ</t>
    </rPh>
    <rPh sb="9" eb="10">
      <t>スミ</t>
    </rPh>
    <rPh sb="19" eb="21">
      <t>マンエン</t>
    </rPh>
    <rPh sb="22" eb="25">
      <t>ショウチクバイ</t>
    </rPh>
    <rPh sb="26" eb="28">
      <t>ミツモリ</t>
    </rPh>
    <rPh sb="28" eb="30">
      <t>テイジ</t>
    </rPh>
    <phoneticPr fontId="1"/>
  </si>
  <si>
    <t>10/6週以降でRFPを受領予定。提案</t>
    <rPh sb="4" eb="7">
      <t>シュウイコウ</t>
    </rPh>
    <rPh sb="12" eb="14">
      <t>ジュリョウ</t>
    </rPh>
    <rPh sb="14" eb="16">
      <t>ヨテイ</t>
    </rPh>
    <rPh sb="17" eb="19">
      <t>テイアン</t>
    </rPh>
    <phoneticPr fontId="1"/>
  </si>
  <si>
    <t>年間合計</t>
    <rPh sb="0" eb="4">
      <t>ネンカンゴウケイ</t>
    </rPh>
    <phoneticPr fontId="1"/>
  </si>
  <si>
    <t>行ラベル</t>
  </si>
  <si>
    <t>合計 / 売上総額</t>
  </si>
  <si>
    <t>合計 / 7月</t>
  </si>
  <si>
    <t>合計 / 8月</t>
  </si>
  <si>
    <t>合計 / 9月</t>
  </si>
  <si>
    <t>合計 / 10月</t>
  </si>
  <si>
    <t>合計 / 11月</t>
  </si>
  <si>
    <t>合計 / 12月</t>
  </si>
  <si>
    <t>下期合計</t>
    <rPh sb="0" eb="4">
      <t>シモキゴウケイ</t>
    </rPh>
    <phoneticPr fontId="1"/>
  </si>
  <si>
    <t>業務ITT</t>
  </si>
  <si>
    <t>New Customer</t>
  </si>
  <si>
    <t>業務改善T</t>
  </si>
  <si>
    <t>アプリ展開①：鍜治田工務店（大末横展開）</t>
  </si>
  <si>
    <t>アプリ展開②：りんかい日産建設他（大末横展開）</t>
  </si>
  <si>
    <t>アプリ展開③：錢高組他（大末横展開）</t>
  </si>
  <si>
    <t>(空白)</t>
  </si>
  <si>
    <t>製造T</t>
  </si>
  <si>
    <t>DAIKIN INDUSTRIES, LTD.</t>
  </si>
  <si>
    <t>DKI（ダイキン情報システム）</t>
  </si>
  <si>
    <t>FAST RETAILING CO.,LTD.</t>
  </si>
  <si>
    <t>KONICA MINOLTA, INC.</t>
  </si>
  <si>
    <t>Nissan Motor Co., Ltd.</t>
  </si>
  <si>
    <t>Panasonic Information Systems Co., Ltd.</t>
  </si>
  <si>
    <t>SUNTORY</t>
  </si>
  <si>
    <t>VIETNAM STANLEY ELECTRIC CO.,LTD</t>
  </si>
  <si>
    <t>野村不動産</t>
  </si>
  <si>
    <t>総計</t>
  </si>
  <si>
    <t>サブチーム</t>
    <phoneticPr fontId="1"/>
  </si>
  <si>
    <t>クライアント名</t>
    <phoneticPr fontId="25"/>
  </si>
  <si>
    <t>PJ名</t>
    <phoneticPr fontId="25"/>
  </si>
  <si>
    <t>売上総額</t>
    <phoneticPr fontId="25"/>
  </si>
  <si>
    <t>5－12月</t>
    <phoneticPr fontId="1"/>
  </si>
  <si>
    <t>1月</t>
    <phoneticPr fontId="25"/>
  </si>
  <si>
    <t>2月</t>
    <phoneticPr fontId="25"/>
  </si>
  <si>
    <t>3月</t>
  </si>
  <si>
    <t>4月</t>
  </si>
  <si>
    <t>5月</t>
  </si>
  <si>
    <t>6月</t>
  </si>
  <si>
    <t>確度：A,B,C</t>
    <phoneticPr fontId="1"/>
  </si>
  <si>
    <t>業務ITT</t>
    <phoneticPr fontId="1"/>
  </si>
  <si>
    <t>BIM動画フォーマット作成</t>
  </si>
  <si>
    <t>BIM動画作成</t>
    <phoneticPr fontId="1"/>
  </si>
  <si>
    <t>BIMテンプレート支援</t>
  </si>
  <si>
    <t>建設DXコンサル支援（ナカノフドー建設）</t>
    <phoneticPr fontId="1"/>
  </si>
  <si>
    <t>FM事業支援</t>
  </si>
  <si>
    <t>BIM基盤構築（1-2月）※コンサル</t>
  </si>
  <si>
    <t>BIM基盤構築（システム要件定義）</t>
  </si>
  <si>
    <t>BIM基盤構築（開発）</t>
    <phoneticPr fontId="1"/>
  </si>
  <si>
    <t>業務改善T</t>
    <phoneticPr fontId="1"/>
  </si>
  <si>
    <t>AAK_スマートBPO業務・方針整理（1月～9月）</t>
    <phoneticPr fontId="1"/>
  </si>
  <si>
    <t>AAK_スマートBPO業務・方針整理（10月～12月）</t>
    <phoneticPr fontId="1"/>
  </si>
  <si>
    <t>業務改善（1月～9月）</t>
    <phoneticPr fontId="1"/>
  </si>
  <si>
    <t>業務改善（10月～12月）</t>
    <phoneticPr fontId="1"/>
  </si>
  <si>
    <t>[Renew] DX system AMS phase（1月～9月）</t>
    <phoneticPr fontId="1"/>
  </si>
  <si>
    <t>[Renew] DX system AMS phase（10月～12月）</t>
    <phoneticPr fontId="1"/>
  </si>
  <si>
    <t>DXS-2</t>
    <phoneticPr fontId="1"/>
  </si>
  <si>
    <t>基幹システムリプレイス（1月～9月）</t>
    <phoneticPr fontId="1"/>
  </si>
  <si>
    <t>基幹システムリプレイス（10月～12月）</t>
    <phoneticPr fontId="1"/>
  </si>
  <si>
    <t>アプリ展開①：鍜治田工務店（大末横展開）</t>
    <phoneticPr fontId="1"/>
  </si>
  <si>
    <t>アプリ展開②：りんかい日産建設他（大末横展開）</t>
    <phoneticPr fontId="1"/>
  </si>
  <si>
    <t>アプリ展開③：錢高組他（大末横展開）</t>
    <phoneticPr fontId="1"/>
  </si>
  <si>
    <t>製造T</t>
    <phoneticPr fontId="1"/>
  </si>
  <si>
    <t>3D CADチェックツール開発(第二弾)</t>
    <phoneticPr fontId="1"/>
  </si>
  <si>
    <t>3Dモデリング2025年分作業 (BPO)</t>
    <phoneticPr fontId="1"/>
  </si>
  <si>
    <t>3D 格納状態図作成ツール開発</t>
    <phoneticPr fontId="1"/>
  </si>
  <si>
    <t>AI×CADによる設計自動化に向けたロードマップ作成支援</t>
    <phoneticPr fontId="1"/>
  </si>
  <si>
    <t>ITインフラ基盤調査報告書作成支援</t>
    <phoneticPr fontId="1"/>
  </si>
  <si>
    <t>NX addon development 2025</t>
    <phoneticPr fontId="1"/>
  </si>
  <si>
    <t>大和ハウス　AI支援</t>
    <phoneticPr fontId="1"/>
  </si>
  <si>
    <t>DKI（ダイキン情報システム）</t>
    <phoneticPr fontId="1"/>
  </si>
  <si>
    <t>akaBot支援</t>
    <phoneticPr fontId="1"/>
  </si>
  <si>
    <t>FR UiPath支援</t>
  </si>
  <si>
    <t>PM/PL要員育成ロードマップ作成、教育支援</t>
    <phoneticPr fontId="1"/>
  </si>
  <si>
    <t>ECM/CDM replacement assessment phase</t>
  </si>
  <si>
    <t>KMI_CDM刷新アセスメントフェーズ</t>
  </si>
  <si>
    <t>BPO業務自動化支援</t>
    <phoneticPr fontId="1"/>
  </si>
  <si>
    <t>akaBot検証（4-6月）</t>
  </si>
  <si>
    <t>UiPath開発</t>
    <phoneticPr fontId="1"/>
  </si>
  <si>
    <t>仮）日産自動車　TCNX支援</t>
  </si>
  <si>
    <t>PISC_CADPLMサポート</t>
  </si>
  <si>
    <t>PISC_Mendixサポート</t>
  </si>
  <si>
    <t>Siemens</t>
    <phoneticPr fontId="1"/>
  </si>
  <si>
    <t>NX/Teamcenter支援（バルミューダ）</t>
    <phoneticPr fontId="1"/>
  </si>
  <si>
    <t>仮）SUNTORY PowerAutomate移行支援</t>
  </si>
  <si>
    <t>スタンレー支援（MSS案件）</t>
  </si>
  <si>
    <t>YKKAP_次期AP-CADシステム刷新_開発フェーズ</t>
    <phoneticPr fontId="1"/>
  </si>
  <si>
    <t>YKKAP_次期AP-CADシステム刷新_現状調査、実現性検証フェーズ</t>
    <phoneticPr fontId="1"/>
  </si>
  <si>
    <t>RPA運用支援＆akaBot検証</t>
    <phoneticPr fontId="1"/>
  </si>
  <si>
    <t>ヤンマー</t>
    <phoneticPr fontId="1"/>
  </si>
  <si>
    <t>PLM(Windchill）周辺システム開発</t>
    <phoneticPr fontId="1"/>
  </si>
  <si>
    <t>野村不動産</t>
    <phoneticPr fontId="1"/>
  </si>
  <si>
    <t>営業支援ツール</t>
    <phoneticPr fontId="1"/>
  </si>
  <si>
    <t>青木あすなろの出張調整分・請求後相殺</t>
  </si>
  <si>
    <t>Plan1.2比</t>
  </si>
  <si>
    <t>■竹中＋BIMで、計画通り推移</t>
  </si>
  <si>
    <t>合計</t>
    <rPh sb="0" eb="2">
      <t>ゴウケイ</t>
    </rPh>
    <phoneticPr fontId="1"/>
  </si>
  <si>
    <t>■大末＋青木で計画通りに、TCGの基幹：1億案件、提案中確度高め</t>
  </si>
  <si>
    <t>■ダイフク、YKK、ダイワ等、コネクションがある案件が軒並み縮小、新規BPOを中心に積み上げ中</t>
  </si>
  <si>
    <t>9月まで</t>
    <rPh sb="1" eb="2">
      <t>ガツ</t>
    </rPh>
    <phoneticPr fontId="1"/>
  </si>
  <si>
    <t>合計 / FCJ 5%</t>
  </si>
  <si>
    <t>AAK</t>
  </si>
  <si>
    <t>DAIKIN</t>
  </si>
  <si>
    <t>業務改善</t>
    <rPh sb="0" eb="4">
      <t>ギョウムカイゼン</t>
    </rPh>
    <phoneticPr fontId="1"/>
  </si>
  <si>
    <t>DAISUE</t>
  </si>
  <si>
    <t>製造PKG</t>
    <rPh sb="0" eb="2">
      <t>セイゾウ</t>
    </rPh>
    <phoneticPr fontId="1"/>
  </si>
  <si>
    <t>DFK</t>
  </si>
  <si>
    <t>JSOL</t>
  </si>
  <si>
    <t>NM</t>
  </si>
  <si>
    <t>OrixB</t>
  </si>
  <si>
    <t>TNK</t>
  </si>
  <si>
    <t>YKKAP</t>
  </si>
  <si>
    <t>Project Name</t>
  </si>
  <si>
    <t>CRM Quote</t>
  </si>
  <si>
    <t>Opp ID</t>
  </si>
  <si>
    <t>Account</t>
  </si>
  <si>
    <t>Opp presale-team</t>
  </si>
  <si>
    <t xml:space="preserve">Dept </t>
  </si>
  <si>
    <t>FCJ Members</t>
  </si>
  <si>
    <t>Updated</t>
  </si>
  <si>
    <t>Period</t>
  </si>
  <si>
    <t>Total Proposed Revenue(FPT+FCJ)</t>
  </si>
  <si>
    <t>Total estimated revenue (FPT+FCJ)</t>
  </si>
  <si>
    <t>Total Contracted Revenue(TCV: FPT+FCJ)</t>
  </si>
  <si>
    <t>FCJ 5%</t>
  </si>
  <si>
    <t>TCNX技術者（フィ）_20250921-20251220</t>
  </si>
  <si>
    <t>DAIKIN/FJP/250918/001</t>
  </si>
  <si>
    <t>OPP-102924-6-FJP-DAIKIN</t>
  </si>
  <si>
    <t>FJP.FA.PDS</t>
  </si>
  <si>
    <t>BX GCS</t>
  </si>
  <si>
    <t>Usui.Masahiro</t>
  </si>
  <si>
    <t>TCNX技術者（クォン）_20250921-20251220</t>
  </si>
  <si>
    <t>DAIKIN/FJP/250922/001</t>
  </si>
  <si>
    <t>NX,TC業務支援Q3_Dan-202510-202512</t>
  </si>
  <si>
    <t>DAIKIN/FJP/250925/001</t>
  </si>
  <si>
    <t>BIM活用基盤整備構想策定の業務支援（08月～12月）_202508-202512</t>
  </si>
  <si>
    <t>TNK/FJP/250905/001</t>
  </si>
  <si>
    <t>OPP-082825-1-FJP-TNK</t>
  </si>
  <si>
    <t>FJP.GMG.MCW</t>
  </si>
  <si>
    <t>Tetsuya Yamaki</t>
  </si>
  <si>
    <t>BIM活用基盤_STEP1開発_20250829-20261231_FJP.GMG-FHM.JPG-Buffer</t>
  </si>
  <si>
    <t>TNK/FJP/250905/002</t>
  </si>
  <si>
    <t>BIM活用基盤_STEP1開発_20250815-20261231_Comtor G0</t>
  </si>
  <si>
    <t>TNK/FJP/250926/002</t>
  </si>
  <si>
    <t>BIM活用基盤_STEP1開発_20250815-20261231_F1.CSM</t>
  </si>
  <si>
    <t>TNK/FJP/250929/001</t>
  </si>
  <si>
    <t>DLM基盤_STEP1開発_202509-202612</t>
  </si>
  <si>
    <t>TNK/FJP/250930/001</t>
  </si>
  <si>
    <t>OPP-060425-1-FJP-TNK</t>
  </si>
  <si>
    <t>DLM基盤_STEP1開発_202509-202512_Comtor G0</t>
  </si>
  <si>
    <t>TNK/FJP/251001/001</t>
  </si>
  <si>
    <t>BIM活用基盤_STEP1開発_20250815-20261231_FCJ</t>
  </si>
  <si>
    <t>TNK/FJP/250929/002</t>
  </si>
  <si>
    <t>要件定義業務支援 (中村)_FCJ_Nakamura. Takuo (takuon)_20251021-20260331</t>
  </si>
  <si>
    <t>NM/FJP/250930/001</t>
  </si>
  <si>
    <t>OPP-010924-1-FJP-NM</t>
  </si>
  <si>
    <t>FCJ.BX.GCS</t>
  </si>
  <si>
    <t>takuon</t>
  </si>
  <si>
    <t>JSOL -SAP- JD NET Jun-August _20250520-2050831</t>
  </si>
  <si>
    <t>JSOL/FJP/250527/001</t>
  </si>
  <si>
    <t>OPP-041625-1-FJP-JSOL</t>
  </si>
  <si>
    <t>RPA 運用・検証支援_2025/7/15-2025/9/30</t>
  </si>
  <si>
    <t>OrixB/FJP/250911/001</t>
  </si>
  <si>
    <t>OPP-102924-1-FJP-OrixB</t>
  </si>
  <si>
    <t>ﾊﾟﾚｯﾄｺﾝﾍﾞﾔｾｲｻﾝｾｲｶｲﾊﾂ モデル作成_20240827発注分_20250827-20250905</t>
  </si>
  <si>
    <t>DFK/FJP/250918/001</t>
  </si>
  <si>
    <t>OPP-120324-2-FJP-DFK</t>
  </si>
  <si>
    <t>【特急対応】3Dモデリング54_2025/8/28～2025/9/1</t>
  </si>
  <si>
    <t>DFK/FJP/250925/001</t>
  </si>
  <si>
    <t>OPP-120324-1-FJP-DFK</t>
  </si>
  <si>
    <t>AI活用拡大(Q3)＿FPTクラウド費用(2025年8月分)</t>
  </si>
  <si>
    <t>DFK/FJP/250929/001</t>
  </si>
  <si>
    <t>OPP-030725-1-FJP-DFK</t>
  </si>
  <si>
    <t>ﾊﾟﾚｯﾄｺﾝﾍﾞﾔｾｲｻﾝｾｲｶｲﾊﾂ モデル作成_K3136137_20250904-20250926</t>
  </si>
  <si>
    <t>DFK/FJP/250912/001</t>
  </si>
  <si>
    <t>ﾊﾟﾚｯﾄｺﾝﾍﾞﾔｾｲｻﾝｾｲｶｲﾊﾂ モデル作成_K3136138_20240904-20250926</t>
  </si>
  <si>
    <t>DFK/FJP/250925/004</t>
  </si>
  <si>
    <t>【特急対応】3Dモデリング55_2025/9/8～2025/9/9</t>
  </si>
  <si>
    <t>DFK/FJP/250925/003</t>
  </si>
  <si>
    <t>BTPの開発支援_202509-10</t>
  </si>
  <si>
    <t>JSOL/FJP/250912/001</t>
  </si>
  <si>
    <t>BTPの開発支援_202509-10_Comtor G0</t>
  </si>
  <si>
    <t>JSOL/FJP/250912/002</t>
  </si>
  <si>
    <t>【特急対応】3Dモデリング56_2025/9/11～2025/9/18</t>
  </si>
  <si>
    <t>DFK/FJP/250925/005</t>
  </si>
  <si>
    <t>設計アウトプットの改革 IDW作成_20250918発注分_20250918-20251020</t>
  </si>
  <si>
    <t>DFK/FJP/250924/001</t>
  </si>
  <si>
    <t>【特急対応】3Dモデリング57_2025/9/19～2025/10/1</t>
  </si>
  <si>
    <t>DFK/FJP/250925/002</t>
  </si>
  <si>
    <t>AAK_業務改善・デジタル化の案件【B】、【C】フェーズ_2025年10月11月12月</t>
  </si>
  <si>
    <t>AAK/FJP/251001/001</t>
  </si>
  <si>
    <t>OPP-031125-3-FJP-AAK</t>
  </si>
  <si>
    <t>汎用コンポーネント(マンション試行用)開発支援_交通費_202508</t>
  </si>
  <si>
    <t>JSOL/FJP/250925/001</t>
  </si>
  <si>
    <t>OPP-031225-1-FJP-JSOL</t>
  </si>
  <si>
    <t>建設DXコンサルのビジネス検討・推進支援_202510-202603</t>
  </si>
  <si>
    <t>JSOL/FJP/251001/001</t>
  </si>
  <si>
    <t>OPP-090825-1-FJP-JSOL</t>
  </si>
  <si>
    <t>N社向けIT企画構想支援_202510-202603</t>
  </si>
  <si>
    <t>JSOL/FJP/251002/002</t>
  </si>
  <si>
    <t>OPP-090925-1-FJP-JSOL</t>
  </si>
  <si>
    <t>N社向けPJ推進のご支援_202510-202603</t>
  </si>
  <si>
    <t>JSOL/FJP/251002/001</t>
  </si>
  <si>
    <t>汎用コンポーネント(マンション試行用)開発支援_交通費_202509</t>
  </si>
  <si>
    <t>JSOL/FJP/251002/003</t>
  </si>
  <si>
    <t>大正区鶴町冷凍冷蔵物流計画設備電気インフラモデル製作業務_20250113-20250120</t>
  </si>
  <si>
    <t>DAISUE/FJP/250116/001</t>
  </si>
  <si>
    <t>OPP-010924-1-FJP-DAISUE</t>
  </si>
  <si>
    <t>kato.fumie</t>
  </si>
  <si>
    <t>YKKAP_次期AP CADシステム刷新プロジェクト_2024/12/16-2025/3/31</t>
  </si>
  <si>
    <t>YKKAP/FJP/250109/001</t>
  </si>
  <si>
    <t>OPP-092724-1-FJP-YKKAP</t>
  </si>
  <si>
    <t>【特急対応】3Dモデリング28_20250120依頼分_20250110-20250116</t>
  </si>
  <si>
    <t>DFK/FJP/250203/001</t>
  </si>
  <si>
    <t>【特急対応】3Dモデリング29_20250123依頼分_20250121-20250203</t>
  </si>
  <si>
    <t>DFK/FJP/250203/002</t>
  </si>
  <si>
    <t>【特急対応】3Dモデリング27_20250110依頼分_20250110-20250116</t>
  </si>
  <si>
    <t>DFK/FJP/250117/001</t>
  </si>
  <si>
    <t>3Dモデリング直線コンベア1月分 _20250110-20250124</t>
  </si>
  <si>
    <t>DFK/FJP/250117/002</t>
  </si>
  <si>
    <t>AIものづくり支援環境構築1月後半分</t>
  </si>
  <si>
    <t>DFK/FJP/250212/001</t>
  </si>
  <si>
    <t>OPP-013124-1-FJP-DFK</t>
  </si>
  <si>
    <t>AAK_請求・経営管理システム連携構築業務の案件【A】、【B】、【C】フェーズ_11月 12月</t>
  </si>
  <si>
    <t>AAK/FJP/250217/001</t>
  </si>
  <si>
    <t>OPP-102624-1-FJP-AAK</t>
  </si>
  <si>
    <t>3Dモデリング_2025年分作業 (BPO)</t>
  </si>
  <si>
    <t>DFK/FJP/250225/001</t>
  </si>
  <si>
    <t>3Dモデリング特急対応_2025年分作業 (BPO)</t>
  </si>
  <si>
    <t>DFK/FJP/250225/003</t>
  </si>
  <si>
    <t>DFK/FJP/250225/002</t>
  </si>
  <si>
    <t>AI×CADによる設計自動化に向けたロードマップ作成支援_20250217-20250331</t>
  </si>
  <si>
    <t>DAIKIN/FJP/250304/001</t>
  </si>
  <si>
    <t>OPP-012125-1-FJP-DAIKIN</t>
  </si>
  <si>
    <t>AWS 費用_202503</t>
  </si>
  <si>
    <t>DAISUE/FJP/250311/001</t>
  </si>
  <si>
    <t>OPP-031324-2-FJP-DAISUE</t>
  </si>
  <si>
    <t>NXデータ移行業務のためのST9 Solid Edge ライセンスの御見積書 (1年間)_20250321-20260331</t>
  </si>
  <si>
    <t>DAIKIN/FJP/250313/001</t>
  </si>
  <si>
    <t>OPP-031025-1-FJP-DAIKIN</t>
  </si>
  <si>
    <t>【特急対応】3Dモデリング32_20250226依頼分_20250228-20250303</t>
  </si>
  <si>
    <t>DFK/FJP/250318/002</t>
  </si>
  <si>
    <t>【特急対応】3Dモデリング32_#2_RMG10_20250226依頼分_2025/2/28～2025/3/3</t>
  </si>
  <si>
    <t>DFK/FJP/250318/001</t>
  </si>
  <si>
    <t>【特急対応】3Dモデリング33_20250301依頼分_2025/3/3～2025/3/7</t>
  </si>
  <si>
    <t>DFK/FJP/250319/007</t>
  </si>
  <si>
    <t>【特急対応】3Dモデリング33_#2_RMG10_20250301依頼分_2025/3/3～2025/3/7</t>
  </si>
  <si>
    <t>DFK/FJP/250319/008</t>
  </si>
  <si>
    <t>【特急対応】3Dモデリング34_20250306依頼分_2025/3/7～2025/3/14</t>
  </si>
  <si>
    <t>DFK/FJP/250311/001</t>
  </si>
  <si>
    <t>3Dモデリング_ZOZO ZOZOBASEつくば１ーB Pouc h架台_20250314_2025/3/14～2025/3/21</t>
  </si>
  <si>
    <t>DFK/FJP/250326/001</t>
  </si>
  <si>
    <t>AIものづくり支援環境構築2月3月分＿①運用・保守支援、引継ぎ_2025/2/17～2025/4/1_FCJ.ABC</t>
  </si>
  <si>
    <t>DFK/FJP/250319/001</t>
  </si>
  <si>
    <t>OPP-011725-1-FJP-DFK</t>
  </si>
  <si>
    <t>【特急対応】3Dモデリング35_20250324依頼分_2025/3/24～2025/4/1</t>
  </si>
  <si>
    <t>DFK/FJP/250328/001</t>
  </si>
  <si>
    <t>3Dモデリング直線コンベア3月分_2025/3/24～2025/5/16</t>
  </si>
  <si>
    <t>DFK/FJP/250331/002</t>
  </si>
  <si>
    <t>3Dモデリング_ZOZO ZOZOBASEつくば１ーB pouch架台 h架台_2025/3/25～2025/4/2</t>
  </si>
  <si>
    <t>DFK/FJP/250331/003</t>
  </si>
  <si>
    <t>自動チェックツール開発_第3弾① ツールUI改修_2025/3/18～2025/5/6</t>
  </si>
  <si>
    <t>DFK/FJP/250331/001</t>
  </si>
  <si>
    <t>OPP-030725-2-FJP-DFK</t>
  </si>
  <si>
    <t>自動チェックツール開発_第3弾②-1 チェック内容修正_20250318-20250506</t>
  </si>
  <si>
    <t>DFK/FJP/250331/004</t>
  </si>
  <si>
    <t>自動チェックツール開発_第3弾②-3 チェック内容追加②_2025/3/18～2025/5/6</t>
  </si>
  <si>
    <t>DFK/FJP/250331/005</t>
  </si>
  <si>
    <t>自動チェックツール開発_第3弾②-1 チェック内容追加①_20250318-20250506</t>
  </si>
  <si>
    <t>DFK/FJP/250331/006</t>
  </si>
  <si>
    <t>【特急対応】3Dモデリング36_20250326依頼分_2025/3/28～2025/4/1</t>
  </si>
  <si>
    <t>DFK/FJP/250402/001</t>
  </si>
  <si>
    <t>3Dモデリング_ZOZOBASEつくば１ーB ZOZO追加分_2025/3/28～2025/4/11</t>
  </si>
  <si>
    <t>DFK/FJP/250402/002</t>
  </si>
  <si>
    <t>【特急対応】3Dモデリング37_20250331依頼分_20250402-20250408</t>
  </si>
  <si>
    <t>DFK/FJP/250408/001</t>
  </si>
  <si>
    <t>AI活用拡大(Q2)＿AI活用に関するプロジェクトのリード_2025/4/25～2025/5/29_FAI.ABC</t>
  </si>
  <si>
    <t>DFK/FJP/250502/002</t>
  </si>
  <si>
    <t>OPP-012725-1-FJP-DFK</t>
  </si>
  <si>
    <t>AI活用拡大(Q2)＿特殊検討技術のPoC_2025/4/25～2025/5/29_FAI.ABC</t>
  </si>
  <si>
    <t>DFK/FJP/250502/003</t>
  </si>
  <si>
    <t>TCNX技術者（クォン）_20250703-20250920</t>
  </si>
  <si>
    <t>DAIKIN/FJP/250422/005</t>
  </si>
  <si>
    <t>TCNX技術者（フィ）_20250703-20250920</t>
  </si>
  <si>
    <t>DAIKIN/FJP/250418/001</t>
  </si>
  <si>
    <t>NX, TC業務支援_20250515-20250613</t>
  </si>
  <si>
    <t>DAIKIN/FJP/250428/001</t>
  </si>
  <si>
    <t>基幹システムリプレイスに伴う業務要件定義_202506-202509</t>
  </si>
  <si>
    <t>DAISUE/FJP/250428/001</t>
  </si>
  <si>
    <t>OPP-122324-1-FJP-DAISUE</t>
  </si>
  <si>
    <t>Kato.Fumie</t>
  </si>
  <si>
    <t>NX, TC業務支援_20250617-20250630</t>
  </si>
  <si>
    <t>DAIKIN/FJP/250430/001</t>
  </si>
  <si>
    <t>AAK_業務改善・デジタル化の案件【C】フェーズ_2025年4月</t>
  </si>
  <si>
    <t>AAK/FJP/250425/002</t>
  </si>
  <si>
    <t>OPP-040825-1-FJP-AAK</t>
  </si>
  <si>
    <t>【特急対応】3Dモデリング38_20250409依頼分_2025/4/9～2025/4/15</t>
  </si>
  <si>
    <t>DFK/FJP/250430/001</t>
  </si>
  <si>
    <t>【特急対応】3Dモデリング39_20250416依頼分_2025/4/17～2025/5/6</t>
  </si>
  <si>
    <t>DFK/FJP/250424/002</t>
  </si>
  <si>
    <t>セッケイアウトプットノカイカク 3Dモデリング・検図_2025/4/17～2025/6/6</t>
  </si>
  <si>
    <t>DFK/FJP/250424/001</t>
  </si>
  <si>
    <t>セッケイアウトプットノカイカク Revup 対応_2025/4/21～2025/5/9</t>
  </si>
  <si>
    <t>DFK/FJP/250501/001</t>
  </si>
  <si>
    <t>【特急対応】3Dモデリング40_20250422依頼分_2025/4/22～2025/5/12</t>
  </si>
  <si>
    <t>DFK/FJP/250425/001</t>
  </si>
  <si>
    <t>AI活用拡大(Q2)＿運用引継ぎ、及び関連支援_20250428-20250531_FAI.ABC</t>
  </si>
  <si>
    <t>DFK/FJP/250515/003</t>
  </si>
  <si>
    <t>RMG10モデリング_20250506-20250509</t>
  </si>
  <si>
    <t>DFK/FJP/250515/001</t>
  </si>
  <si>
    <t>【特急対応】3Dモデリング41_20250512依頼分_20250513-20250521</t>
  </si>
  <si>
    <t>DFK/FJP/250522/002</t>
  </si>
  <si>
    <t>設計アウトプットの改革 IDW作成_20250514-20250606</t>
  </si>
  <si>
    <t>DFK/FJP/250522/001</t>
  </si>
  <si>
    <t>【特急対応】3Dモデリング42_20250520依頼分_20250520-20250602</t>
  </si>
  <si>
    <t>DFK/FJP/250528/001</t>
  </si>
  <si>
    <t>設計アウトプットの改革 モデリング・検図_20250522-20250630</t>
  </si>
  <si>
    <t>DFK/FJP/250528/002</t>
  </si>
  <si>
    <t>FDNイベント_ベトナム出張_20250801-20250829</t>
  </si>
  <si>
    <t>DAISUE/FJP/250617/001</t>
  </si>
  <si>
    <t>NX,TC業務支援Q2_20250704-20250930</t>
  </si>
  <si>
    <t>DAIKIN/FJP/250705/002</t>
  </si>
  <si>
    <t>【特急対応】3Dモデリング43_20250529依頼分_20250529-20250605</t>
  </si>
  <si>
    <t>DFK/FJP/250617/001</t>
  </si>
  <si>
    <t>AI活用拡大(Q2)＿設計支援AI開発 AI物作り支援6月_20250528-20250701_FAI.ABC</t>
  </si>
  <si>
    <t>DFK/FJP/250614/001</t>
  </si>
  <si>
    <t>【特急対応】3Dモデリング44_20250605依頼分_2025/6/6～2025/6/11</t>
  </si>
  <si>
    <t>DFK/FJP/250613/001</t>
  </si>
  <si>
    <t>設計アウトプットの改革 IDW作成_20240606発注分_2025/6/6～2025/7/2</t>
  </si>
  <si>
    <t>DFK/FJP/250703/001</t>
  </si>
  <si>
    <t>【特急対応】3Dモデリング45_20250616依頼分_20250616-20250618</t>
  </si>
  <si>
    <t>DFK/FJP/250703/004</t>
  </si>
  <si>
    <t>【特急対応】3Dモデリング46_20250623依頼分_2025/6/23～2025/7/1</t>
  </si>
  <si>
    <t>DFK/FJP/250703/003</t>
  </si>
  <si>
    <t>AI活用拡大(Q3)＿度AIものづくり支援7-9月活動_2025/6/27～2025/10/1_FAI.ABC</t>
  </si>
  <si>
    <t>DFK/FJP/250705/001</t>
  </si>
  <si>
    <t>FDNイベント_ベトナム出張_ホテル費用_20250801-20250829</t>
  </si>
  <si>
    <t>DAISUE/FJP/250708/001</t>
  </si>
  <si>
    <t>設計アウトプットの改革 3Dモデリング_20240626発注分_20250626-20250711</t>
  </si>
  <si>
    <t>DFK/FJP/250717/001</t>
  </si>
  <si>
    <t>【特急対応】3Dモデリング47_20250703依頼分_2025/7/3～2025/7/9</t>
  </si>
  <si>
    <t>DFK/FJP/250717/002</t>
  </si>
  <si>
    <t>【特急対応】3Dモデリング48_20250710依頼分_2025/7/10～2025/7/17</t>
  </si>
  <si>
    <t>DFK/FJP/250729/002</t>
  </si>
  <si>
    <t>ﾊﾟﾚｯﾄｺﾝﾍﾞﾔｾｲｻﾝｾｲｶｲﾊﾂ モデル作成_20240717発注分_2025/7/17～2025/7/25</t>
  </si>
  <si>
    <t>DFK/FJP/250730/001</t>
  </si>
  <si>
    <t>【特急対応】3Dモデリング49_20250718依頼分_2025/7/18～2025/7/24</t>
  </si>
  <si>
    <t>DFK/FJP/250729/001</t>
  </si>
  <si>
    <t>設計アウトプットの改革 IDW作成_20240703発注分_2025/7/3～2025/8/8</t>
  </si>
  <si>
    <t>DFK/FJP/250822/003</t>
  </si>
  <si>
    <t>【特急対応】3Dモデリング50_20250730依頼分_2025/7/30～2025/8/1</t>
  </si>
  <si>
    <t>DFK/FJP/250822/001</t>
  </si>
  <si>
    <t>ﾊﾟﾚｯﾄｺﾝﾍﾞﾔｾｲｻﾝｾｲｶｲﾊﾂ モデル作成_20240725発注分_2025/7/25～2025/7/28</t>
  </si>
  <si>
    <t>DFK/FJP/250808/001</t>
  </si>
  <si>
    <t>【特急対応】3Dモデリング51_20250808依頼分_2025/8/8～2025/8/12</t>
  </si>
  <si>
    <t>DFK/FJP/250822/002</t>
  </si>
  <si>
    <t>ｽﾘｰﾃﾞｨｾｯｹｲﾌﾟﾗｯﾄﾌｫｰﾑｶ RM機械設計_20240707発注分_2025/7/7～2025/7/14</t>
  </si>
  <si>
    <t>DFK/FJP/250818/001</t>
  </si>
  <si>
    <t>自動チェックツール開発_第4弾②_2025/8/8～2025/10/1</t>
  </si>
  <si>
    <t>DFK/FJP/250829/002</t>
  </si>
  <si>
    <t>OPP-061225-1-FJP-DFK</t>
  </si>
  <si>
    <t>自動チェックツール開発_第4弾①_2025/8/8～2025/10/1</t>
  </si>
  <si>
    <t>DFK/FJP/250829/001</t>
  </si>
  <si>
    <t>自動チェックツール開発_第4弾③ _2025/8/8～2025/10/1</t>
  </si>
  <si>
    <t>DFK/FJP/250829/004</t>
  </si>
  <si>
    <t>自動チェックツール開発_第4弾④_2025/8/8～2025/10/1</t>
  </si>
  <si>
    <t>DFK/FJP/250829/003</t>
  </si>
  <si>
    <t>ﾊﾟﾚｯﾄｺﾝﾍﾞﾔｾｲｻﾝｾｲｶｲﾊﾂ モデル作成_20240818発注分_2025/8/18～2025/8/22</t>
  </si>
  <si>
    <t>DFK/FJP/250822/004</t>
  </si>
  <si>
    <t>【特急対応】3Dモデリング52_20250819</t>
  </si>
  <si>
    <t>DFK/FJP/250827/001</t>
  </si>
  <si>
    <t>【特急対応】3Dモデリング53_2025/8/20～2025/9/1</t>
  </si>
  <si>
    <t>DFK/FJP/250829/005</t>
  </si>
  <si>
    <t>設計アウトプットの改革 IDW作成_20240825発注分_20250825-20250918</t>
  </si>
  <si>
    <t>DFK/FJP/250904/001</t>
  </si>
  <si>
    <t>チーム</t>
    <phoneticPr fontId="1"/>
  </si>
  <si>
    <t>顧客</t>
    <rPh sb="0" eb="2">
      <t>コキャク</t>
    </rPh>
    <phoneticPr fontId="1"/>
  </si>
  <si>
    <t>案件名</t>
    <rPh sb="0" eb="3">
      <t>アンケンメイ</t>
    </rPh>
    <phoneticPr fontId="1"/>
  </si>
  <si>
    <t>種類</t>
    <rPh sb="0" eb="2">
      <t>シュルイ</t>
    </rPh>
    <phoneticPr fontId="1"/>
  </si>
  <si>
    <t>状況</t>
    <rPh sb="0" eb="2">
      <t>ジョウキョウ</t>
    </rPh>
    <phoneticPr fontId="1"/>
  </si>
  <si>
    <t>アサイン</t>
    <phoneticPr fontId="1"/>
  </si>
  <si>
    <t>確度</t>
    <rPh sb="0" eb="2">
      <t>カクド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</si>
  <si>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</si>
  <si>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</si>
  <si>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計</t>
    <rPh sb="0" eb="1">
      <t>ケイ</t>
    </rPh>
    <phoneticPr fontId="1"/>
  </si>
  <si>
    <t>提案中。7月中にベンダーー選定　受注内示、3か月</t>
    <rPh sb="0" eb="3">
      <t>テイアンチュウ</t>
    </rPh>
    <rPh sb="5" eb="7">
      <t>ガツチュウ</t>
    </rPh>
    <rPh sb="13" eb="15">
      <t>センテイ</t>
    </rPh>
    <rPh sb="16" eb="20">
      <t>ジュチュウナイジ</t>
    </rPh>
    <rPh sb="23" eb="24">
      <t>ゲツ</t>
    </rPh>
    <phoneticPr fontId="1"/>
  </si>
  <si>
    <t>境、方</t>
    <rPh sb="0" eb="1">
      <t>サカイ</t>
    </rPh>
    <rPh sb="2" eb="3">
      <t>ホウ</t>
    </rPh>
    <phoneticPr fontId="1"/>
  </si>
  <si>
    <t>7/9キックオフ。7/15案件開始</t>
    <rPh sb="13" eb="15">
      <t>アンケン</t>
    </rPh>
    <rPh sb="15" eb="17">
      <t>カイシ</t>
    </rPh>
    <phoneticPr fontId="1"/>
  </si>
  <si>
    <t>バンクス</t>
    <phoneticPr fontId="1"/>
  </si>
  <si>
    <t>7/11概算見積予定</t>
    <rPh sb="4" eb="6">
      <t>ガイサン</t>
    </rPh>
    <rPh sb="6" eb="8">
      <t>ミツモリ</t>
    </rPh>
    <rPh sb="8" eb="10">
      <t>ヨテイ</t>
    </rPh>
    <phoneticPr fontId="1"/>
  </si>
  <si>
    <t>臼井、境</t>
    <rPh sb="0" eb="2">
      <t>ウスイ</t>
    </rPh>
    <rPh sb="3" eb="4">
      <t>サカイ</t>
    </rPh>
    <phoneticPr fontId="1"/>
  </si>
  <si>
    <t>提案中　確度高そう。。。　業務整理＋自動化、システム化</t>
    <rPh sb="0" eb="3">
      <t>テイアンチュウ</t>
    </rPh>
    <rPh sb="4" eb="7">
      <t>カクドタカ</t>
    </rPh>
    <rPh sb="13" eb="17">
      <t>ギョウムセイリ</t>
    </rPh>
    <rPh sb="18" eb="21">
      <t>ジドウカ</t>
    </rPh>
    <rPh sb="26" eb="27">
      <t>カ</t>
    </rPh>
    <phoneticPr fontId="1"/>
  </si>
  <si>
    <t>7/7見積提示済</t>
    <rPh sb="3" eb="5">
      <t>ミツモリ</t>
    </rPh>
    <rPh sb="5" eb="7">
      <t>テイジ</t>
    </rPh>
    <rPh sb="7" eb="8">
      <t>スミ</t>
    </rPh>
    <phoneticPr fontId="1"/>
  </si>
  <si>
    <t>ITEC阪急阪神</t>
    <rPh sb="4" eb="8">
      <t>ハンキュウハンシン</t>
    </rPh>
    <phoneticPr fontId="1"/>
  </si>
  <si>
    <t>パッケージ製品評価の提案書作成中</t>
    <rPh sb="5" eb="7">
      <t>セイヒン</t>
    </rPh>
    <rPh sb="7" eb="9">
      <t>ヒョウカ</t>
    </rPh>
    <rPh sb="10" eb="12">
      <t>テイアン</t>
    </rPh>
    <rPh sb="12" eb="13">
      <t>ショ</t>
    </rPh>
    <rPh sb="13" eb="15">
      <t>サクセイ</t>
    </rPh>
    <rPh sb="15" eb="16">
      <t>チュウ</t>
    </rPh>
    <phoneticPr fontId="1"/>
  </si>
  <si>
    <t>予算確保済。10月開始予定</t>
    <rPh sb="0" eb="2">
      <t>ヨサン</t>
    </rPh>
    <rPh sb="2" eb="4">
      <t>カクホ</t>
    </rPh>
    <rPh sb="4" eb="5">
      <t>スミ</t>
    </rPh>
    <rPh sb="8" eb="9">
      <t>ガツ</t>
    </rPh>
    <rPh sb="9" eb="11">
      <t>カイシ</t>
    </rPh>
    <rPh sb="11" eb="13">
      <t>ヨテイ</t>
    </rPh>
    <phoneticPr fontId="1"/>
  </si>
  <si>
    <t>7月受注予定</t>
    <rPh sb="1" eb="4">
      <t>ガツジュチュウ</t>
    </rPh>
    <rPh sb="4" eb="6">
      <t>ヨテイ</t>
    </rPh>
    <phoneticPr fontId="1"/>
  </si>
  <si>
    <t>7/10訪問、提案</t>
    <rPh sb="4" eb="6">
      <t>ホウモン</t>
    </rPh>
    <rPh sb="7" eb="9">
      <t>テイアン</t>
    </rPh>
    <phoneticPr fontId="1"/>
  </si>
  <si>
    <t>7/10見積提示、7月受注予定</t>
    <rPh sb="4" eb="6">
      <t>ミツモリ</t>
    </rPh>
    <rPh sb="6" eb="8">
      <t>テイジ</t>
    </rPh>
    <rPh sb="10" eb="11">
      <t>ガツ</t>
    </rPh>
    <rPh sb="11" eb="13">
      <t>ジュチュウ</t>
    </rPh>
    <rPh sb="13" eb="15">
      <t>ヨテイ</t>
    </rPh>
    <phoneticPr fontId="1"/>
  </si>
  <si>
    <t>営業支援ツール</t>
    <rPh sb="0" eb="2">
      <t>エイギョウ</t>
    </rPh>
    <rPh sb="2" eb="4">
      <t>シエン</t>
    </rPh>
    <phoneticPr fontId="0"/>
  </si>
  <si>
    <t>7月開始</t>
    <rPh sb="1" eb="2">
      <t>ガツ</t>
    </rPh>
    <rPh sb="2" eb="4">
      <t>カイシ</t>
    </rPh>
    <phoneticPr fontId="1"/>
  </si>
  <si>
    <t>7月受注予定</t>
    <rPh sb="1" eb="2">
      <t>ガツ</t>
    </rPh>
    <rPh sb="2" eb="4">
      <t>ジュチュウ</t>
    </rPh>
    <rPh sb="4" eb="6">
      <t>ヨテイ</t>
    </rPh>
    <phoneticPr fontId="1"/>
  </si>
  <si>
    <t>11/4時点</t>
    <rPh sb="4" eb="6">
      <t>ジテン</t>
    </rPh>
    <phoneticPr fontId="1"/>
  </si>
  <si>
    <t>12月受注、契約手続き中。（稼働は1月～3月）</t>
    <rPh sb="2" eb="3">
      <t>ガツ</t>
    </rPh>
    <rPh sb="3" eb="5">
      <t>ジュチュウ</t>
    </rPh>
    <rPh sb="6" eb="8">
      <t>ケイヤク</t>
    </rPh>
    <rPh sb="8" eb="10">
      <t>テツヅ</t>
    </rPh>
    <rPh sb="11" eb="12">
      <t>チュウ</t>
    </rPh>
    <rPh sb="14" eb="16">
      <t>カドウ</t>
    </rPh>
    <rPh sb="18" eb="19">
      <t>ガツ</t>
    </rPh>
    <rPh sb="21" eb="22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</si>
</sst>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Yu Gothic UI"/>
      <family val="3"/>
      <charset val="128"/>
    </font>
    <font>
      <b/>
      <sz val="11"/>
      <color rgb="FFFF0000"/>
      <name val="Yu Gothic UI"/>
      <family val="3"/>
      <charset val="128"/>
    </font>
    <font>
      <b/>
      <sz val="11"/>
      <color theme="1"/>
      <name val="Yu Gothic UI"/>
      <family val="3"/>
      <charset val="128"/>
    </font>
    <font>
      <b/>
      <sz val="14"/>
      <color theme="1"/>
      <name val="Yu Gothic UI"/>
      <family val="3"/>
      <charset val="128"/>
    </font>
    <font>
      <sz val="14"/>
      <color theme="1"/>
      <name val="Yu Gothic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2"/>
      <scheme val="minor"/>
    </font>
    <font>
      <b/>
      <sz val="11"/>
      <color theme="1"/>
      <name val="Meiryo UI"/>
      <family val="3"/>
      <charset val="128"/>
    </font>
    <font>
      <sz val="11"/>
      <color rgb="FFFF0000"/>
      <name val="Yu Gothic UI"/>
      <family val="3"/>
      <charset val="128"/>
    </font>
    <font>
      <sz val="14"/>
      <color rgb="FFFF0000"/>
      <name val="Yu Gothic UI"/>
      <family val="3"/>
      <charset val="128"/>
    </font>
    <font>
      <b/>
      <sz val="14"/>
      <color rgb="FFFF0000"/>
      <name val="Yu Gothic UI"/>
      <family val="3"/>
      <charset val="128"/>
    </font>
    <font>
      <sz val="11"/>
      <color rgb="FFFF0000"/>
      <name val="Meiryo UI"/>
      <family val="3"/>
      <charset val="128"/>
    </font>
    <font>
      <sz val="11"/>
      <name val="Yu Gothic UI"/>
      <family val="3"/>
      <charset val="128"/>
    </font>
    <font>
      <b/>
      <sz val="14"/>
      <name val="Yu Gothic UI"/>
      <family val="3"/>
      <charset val="128"/>
    </font>
    <font>
      <b/>
      <sz val="14"/>
      <color theme="1"/>
      <name val="游ゴシック"/>
      <family val="3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rgb="FF0070C0"/>
      <name val="Yu Gothic UI"/>
      <family val="3"/>
      <charset val="128"/>
    </font>
    <font>
      <sz val="14"/>
      <name val="Yu Gothic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8"/>
      <name val="Meiryo UI"/>
      <family val="3"/>
      <charset val="128"/>
    </font>
    <font>
      <b/>
      <sz val="11"/>
      <color rgb="FF0070C0"/>
      <name val="Meiryo UI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b/>
      <sz val="11"/>
      <name val="Yu Gothic UI"/>
      <family val="3"/>
      <charset val="128"/>
    </font>
    <font>
      <b/>
      <sz val="12"/>
      <color theme="1"/>
      <name val="Yu Gothic UI"/>
      <family val="3"/>
      <charset val="128"/>
    </font>
    <font>
      <b/>
      <sz val="12"/>
      <color rgb="FFFF0000"/>
      <name val="Yu Gothic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</borders>
  <cellStyleXfs count="9">
    <xf numFmtId="0" fontId="0" fillId="0" borderId="0"/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272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0" borderId="0" xfId="0" applyFont="1" applyAlignment="1">
      <alignment horizontal="center"/>
    </xf>
    <xf numFmtId="0" fontId="5" fillId="0" borderId="0" xfId="0" applyFont="1"/>
    <xf numFmtId="38" fontId="3" fillId="0" borderId="0" xfId="1" applyFont="1" applyAlignment="1"/>
    <xf numFmtId="38" fontId="3" fillId="0" borderId="3" xfId="1" applyFont="1" applyBorder="1" applyAlignment="1"/>
    <xf numFmtId="38" fontId="3" fillId="0" borderId="0" xfId="1" applyFont="1" applyBorder="1" applyAlignment="1"/>
    <xf numFmtId="38" fontId="6" fillId="0" borderId="0" xfId="0" applyNumberFormat="1" applyFont="1"/>
    <xf numFmtId="0" fontId="6" fillId="0" borderId="0" xfId="0" applyFont="1"/>
    <xf numFmtId="3" fontId="3" fillId="0" borderId="0" xfId="1" applyNumberFormat="1" applyFont="1" applyAlignment="1"/>
    <xf numFmtId="3" fontId="3" fillId="0" borderId="0" xfId="0" applyNumberFormat="1" applyFont="1"/>
    <xf numFmtId="0" fontId="7" fillId="0" borderId="0" xfId="0" applyFont="1"/>
    <xf numFmtId="38" fontId="7" fillId="0" borderId="0" xfId="0" applyNumberFormat="1" applyFont="1"/>
    <xf numFmtId="0" fontId="8" fillId="0" borderId="0" xfId="0" applyFont="1"/>
    <xf numFmtId="0" fontId="8" fillId="5" borderId="4" xfId="0" applyFont="1" applyFill="1" applyBorder="1"/>
    <xf numFmtId="0" fontId="8" fillId="0" borderId="4" xfId="0" applyFont="1" applyBorder="1"/>
    <xf numFmtId="9" fontId="8" fillId="0" borderId="0" xfId="0" applyNumberFormat="1" applyFont="1"/>
    <xf numFmtId="38" fontId="10" fillId="6" borderId="4" xfId="3" applyFont="1" applyFill="1" applyBorder="1" applyAlignment="1">
      <alignment horizontal="center" vertical="center"/>
    </xf>
    <xf numFmtId="0" fontId="10" fillId="0" borderId="4" xfId="4" applyFont="1" applyBorder="1" applyAlignment="1">
      <alignment horizontal="center" vertical="center"/>
    </xf>
    <xf numFmtId="38" fontId="10" fillId="0" borderId="4" xfId="1" applyFont="1" applyBorder="1" applyAlignment="1">
      <alignment horizontal="center" vertical="center"/>
    </xf>
    <xf numFmtId="0" fontId="8" fillId="5" borderId="0" xfId="0" applyFont="1" applyFill="1"/>
    <xf numFmtId="3" fontId="10" fillId="0" borderId="4" xfId="2" applyNumberFormat="1" applyFont="1" applyBorder="1" applyAlignment="1">
      <alignment horizontal="center" vertical="center"/>
    </xf>
    <xf numFmtId="0" fontId="12" fillId="8" borderId="4" xfId="4" applyFont="1" applyFill="1" applyBorder="1">
      <alignment vertical="center"/>
    </xf>
    <xf numFmtId="38" fontId="12" fillId="0" borderId="4" xfId="1" applyFont="1" applyBorder="1" applyAlignment="1">
      <alignment horizontal="center" vertical="center"/>
    </xf>
    <xf numFmtId="4" fontId="3" fillId="0" borderId="0" xfId="1" applyNumberFormat="1" applyFont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0" xfId="0" applyFont="1" applyFill="1"/>
    <xf numFmtId="0" fontId="13" fillId="0" borderId="0" xfId="0" applyFont="1"/>
    <xf numFmtId="38" fontId="14" fillId="0" borderId="0" xfId="0" applyNumberFormat="1" applyFont="1"/>
    <xf numFmtId="0" fontId="4" fillId="0" borderId="0" xfId="0" applyFont="1"/>
    <xf numFmtId="0" fontId="3" fillId="10" borderId="0" xfId="0" applyFont="1" applyFill="1"/>
    <xf numFmtId="0" fontId="3" fillId="9" borderId="0" xfId="0" applyFont="1" applyFill="1"/>
    <xf numFmtId="9" fontId="7" fillId="0" borderId="0" xfId="2" applyFont="1" applyAlignment="1"/>
    <xf numFmtId="9" fontId="6" fillId="0" borderId="0" xfId="2" applyFont="1" applyAlignment="1"/>
    <xf numFmtId="0" fontId="3" fillId="0" borderId="5" xfId="0" applyFont="1" applyBorder="1"/>
    <xf numFmtId="0" fontId="3" fillId="3" borderId="5" xfId="0" applyFont="1" applyFill="1" applyBorder="1"/>
    <xf numFmtId="38" fontId="16" fillId="0" borderId="4" xfId="1" applyFont="1" applyBorder="1" applyAlignment="1">
      <alignment horizontal="center" vertical="center"/>
    </xf>
    <xf numFmtId="38" fontId="6" fillId="0" borderId="4" xfId="0" applyNumberFormat="1" applyFont="1" applyBorder="1"/>
    <xf numFmtId="0" fontId="3" fillId="10" borderId="5" xfId="0" applyFont="1" applyFill="1" applyBorder="1"/>
    <xf numFmtId="0" fontId="3" fillId="12" borderId="0" xfId="0" applyFont="1" applyFill="1"/>
    <xf numFmtId="38" fontId="6" fillId="2" borderId="0" xfId="0" applyNumberFormat="1" applyFont="1" applyFill="1"/>
    <xf numFmtId="0" fontId="17" fillId="0" borderId="0" xfId="0" applyFont="1"/>
    <xf numFmtId="38" fontId="18" fillId="2" borderId="5" xfId="0" applyNumberFormat="1" applyFont="1" applyFill="1" applyBorder="1"/>
    <xf numFmtId="38" fontId="3" fillId="13" borderId="3" xfId="1" applyFont="1" applyFill="1" applyBorder="1" applyAlignment="1"/>
    <xf numFmtId="0" fontId="17" fillId="12" borderId="4" xfId="0" applyFont="1" applyFill="1" applyBorder="1"/>
    <xf numFmtId="38" fontId="17" fillId="12" borderId="4" xfId="1" applyFont="1" applyFill="1" applyBorder="1" applyAlignment="1"/>
    <xf numFmtId="3" fontId="17" fillId="12" borderId="4" xfId="1" applyNumberFormat="1" applyFont="1" applyFill="1" applyBorder="1" applyAlignment="1"/>
    <xf numFmtId="3" fontId="17" fillId="12" borderId="4" xfId="0" applyNumberFormat="1" applyFont="1" applyFill="1" applyBorder="1"/>
    <xf numFmtId="0" fontId="17" fillId="12" borderId="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3" fontId="3" fillId="3" borderId="4" xfId="0" applyNumberFormat="1" applyFont="1" applyFill="1" applyBorder="1"/>
    <xf numFmtId="0" fontId="17" fillId="14" borderId="4" xfId="0" applyFont="1" applyFill="1" applyBorder="1"/>
    <xf numFmtId="38" fontId="17" fillId="14" borderId="4" xfId="1" applyFont="1" applyFill="1" applyBorder="1" applyAlignment="1"/>
    <xf numFmtId="0" fontId="17" fillId="14" borderId="4" xfId="0" applyFont="1" applyFill="1" applyBorder="1" applyAlignment="1">
      <alignment horizontal="center"/>
    </xf>
    <xf numFmtId="3" fontId="17" fillId="14" borderId="4" xfId="1" applyNumberFormat="1" applyFont="1" applyFill="1" applyBorder="1" applyAlignment="1"/>
    <xf numFmtId="3" fontId="17" fillId="14" borderId="4" xfId="0" applyNumberFormat="1" applyFont="1" applyFill="1" applyBorder="1"/>
    <xf numFmtId="3" fontId="3" fillId="14" borderId="4" xfId="0" applyNumberFormat="1" applyFont="1" applyFill="1" applyBorder="1"/>
    <xf numFmtId="3" fontId="13" fillId="12" borderId="4" xfId="1" applyNumberFormat="1" applyFont="1" applyFill="1" applyBorder="1" applyAlignment="1"/>
    <xf numFmtId="0" fontId="17" fillId="7" borderId="4" xfId="0" applyFont="1" applyFill="1" applyBorder="1"/>
    <xf numFmtId="0" fontId="17" fillId="4" borderId="4" xfId="0" applyFont="1" applyFill="1" applyBorder="1"/>
    <xf numFmtId="38" fontId="3" fillId="0" borderId="0" xfId="0" applyNumberFormat="1" applyFont="1"/>
    <xf numFmtId="38" fontId="7" fillId="0" borderId="0" xfId="0" applyNumberFormat="1" applyFont="1" applyAlignment="1">
      <alignment horizontal="left"/>
    </xf>
    <xf numFmtId="38" fontId="18" fillId="0" borderId="0" xfId="0" applyNumberFormat="1" applyFont="1"/>
    <xf numFmtId="3" fontId="12" fillId="3" borderId="4" xfId="2" applyNumberFormat="1" applyFont="1" applyFill="1" applyBorder="1" applyAlignment="1">
      <alignment horizontal="center" vertical="center"/>
    </xf>
    <xf numFmtId="38" fontId="12" fillId="6" borderId="4" xfId="3" applyFont="1" applyFill="1" applyBorder="1" applyAlignment="1">
      <alignment horizontal="center" vertical="center"/>
    </xf>
    <xf numFmtId="38" fontId="10" fillId="0" borderId="4" xfId="1" applyFont="1" applyFill="1" applyBorder="1" applyAlignment="1">
      <alignment horizontal="center" vertical="center"/>
    </xf>
    <xf numFmtId="38" fontId="19" fillId="0" borderId="0" xfId="0" applyNumberFormat="1" applyFont="1"/>
    <xf numFmtId="38" fontId="6" fillId="3" borderId="0" xfId="0" applyNumberFormat="1" applyFont="1" applyFill="1"/>
    <xf numFmtId="38" fontId="6" fillId="3" borderId="5" xfId="0" applyNumberFormat="1" applyFont="1" applyFill="1" applyBorder="1"/>
    <xf numFmtId="0" fontId="17" fillId="0" borderId="5" xfId="0" applyFont="1" applyBorder="1"/>
    <xf numFmtId="38" fontId="18" fillId="0" borderId="5" xfId="0" applyNumberFormat="1" applyFont="1" applyBorder="1"/>
    <xf numFmtId="0" fontId="17" fillId="2" borderId="0" xfId="0" applyFont="1" applyFill="1"/>
    <xf numFmtId="0" fontId="17" fillId="2" borderId="5" xfId="0" applyFont="1" applyFill="1" applyBorder="1"/>
    <xf numFmtId="38" fontId="17" fillId="0" borderId="3" xfId="1" applyFont="1" applyBorder="1" applyAlignment="1"/>
    <xf numFmtId="38" fontId="17" fillId="2" borderId="3" xfId="1" applyFont="1" applyFill="1" applyBorder="1" applyAlignment="1"/>
    <xf numFmtId="38" fontId="17" fillId="0" borderId="3" xfId="1" applyFont="1" applyFill="1" applyBorder="1" applyAlignment="1"/>
    <xf numFmtId="38" fontId="17" fillId="0" borderId="0" xfId="1" applyFont="1" applyBorder="1" applyAlignment="1"/>
    <xf numFmtId="38" fontId="17" fillId="2" borderId="0" xfId="1" applyFont="1" applyFill="1" applyBorder="1" applyAlignment="1"/>
    <xf numFmtId="38" fontId="17" fillId="0" borderId="0" xfId="1" applyFont="1" applyFill="1" applyBorder="1" applyAlignment="1"/>
    <xf numFmtId="3" fontId="17" fillId="2" borderId="3" xfId="1" applyNumberFormat="1" applyFont="1" applyFill="1" applyBorder="1" applyAlignment="1"/>
    <xf numFmtId="3" fontId="3" fillId="2" borderId="0" xfId="0" applyNumberFormat="1" applyFont="1" applyFill="1"/>
    <xf numFmtId="38" fontId="3" fillId="2" borderId="0" xfId="1" applyFont="1" applyFill="1" applyBorder="1" applyAlignment="1"/>
    <xf numFmtId="3" fontId="21" fillId="0" borderId="0" xfId="0" applyNumberFormat="1" applyFont="1"/>
    <xf numFmtId="38" fontId="21" fillId="0" borderId="0" xfId="1" applyFont="1" applyBorder="1" applyAlignment="1"/>
    <xf numFmtId="3" fontId="17" fillId="0" borderId="0" xfId="1" applyNumberFormat="1" applyFont="1" applyFill="1" applyBorder="1" applyAlignment="1"/>
    <xf numFmtId="38" fontId="21" fillId="0" borderId="0" xfId="1" applyFont="1" applyFill="1" applyBorder="1" applyAlignment="1"/>
    <xf numFmtId="3" fontId="17" fillId="2" borderId="0" xfId="1" applyNumberFormat="1" applyFont="1" applyFill="1" applyBorder="1" applyAlignment="1"/>
    <xf numFmtId="38" fontId="22" fillId="0" borderId="5" xfId="0" applyNumberFormat="1" applyFont="1" applyBorder="1"/>
    <xf numFmtId="38" fontId="17" fillId="0" borderId="0" xfId="1" applyFont="1" applyAlignment="1"/>
    <xf numFmtId="38" fontId="17" fillId="2" borderId="0" xfId="1" applyFont="1" applyFill="1" applyAlignment="1"/>
    <xf numFmtId="0" fontId="8" fillId="0" borderId="4" xfId="0" applyFont="1" applyBorder="1" applyAlignment="1">
      <alignment horizontal="center"/>
    </xf>
    <xf numFmtId="9" fontId="8" fillId="0" borderId="4" xfId="2" applyFont="1" applyBorder="1" applyAlignment="1">
      <alignment horizontal="center"/>
    </xf>
    <xf numFmtId="38" fontId="18" fillId="2" borderId="0" xfId="0" applyNumberFormat="1" applyFont="1" applyFill="1"/>
    <xf numFmtId="3" fontId="17" fillId="2" borderId="0" xfId="0" applyNumberFormat="1" applyFont="1" applyFill="1"/>
    <xf numFmtId="3" fontId="17" fillId="0" borderId="0" xfId="0" applyNumberFormat="1" applyFont="1"/>
    <xf numFmtId="3" fontId="13" fillId="0" borderId="0" xfId="0" applyNumberFormat="1" applyFont="1"/>
    <xf numFmtId="38" fontId="17" fillId="2" borderId="3" xfId="1" applyFont="1" applyFill="1" applyBorder="1" applyAlignment="1">
      <alignment wrapText="1"/>
    </xf>
    <xf numFmtId="38" fontId="17" fillId="2" borderId="6" xfId="1" applyFont="1" applyFill="1" applyBorder="1" applyAlignment="1"/>
    <xf numFmtId="38" fontId="17" fillId="2" borderId="5" xfId="1" applyFont="1" applyFill="1" applyBorder="1" applyAlignment="1"/>
    <xf numFmtId="3" fontId="3" fillId="13" borderId="3" xfId="1" applyNumberFormat="1" applyFont="1" applyFill="1" applyBorder="1" applyAlignment="1"/>
    <xf numFmtId="3" fontId="3" fillId="0" borderId="3" xfId="1" applyNumberFormat="1" applyFont="1" applyBorder="1" applyAlignment="1"/>
    <xf numFmtId="3" fontId="17" fillId="2" borderId="6" xfId="1" applyNumberFormat="1" applyFont="1" applyFill="1" applyBorder="1" applyAlignment="1"/>
    <xf numFmtId="38" fontId="17" fillId="0" borderId="5" xfId="1" applyFont="1" applyBorder="1" applyAlignment="1"/>
    <xf numFmtId="3" fontId="17" fillId="2" borderId="5" xfId="0" applyNumberFormat="1" applyFont="1" applyFill="1" applyBorder="1"/>
    <xf numFmtId="3" fontId="13" fillId="2" borderId="3" xfId="1" applyNumberFormat="1" applyFont="1" applyFill="1" applyBorder="1" applyAlignment="1"/>
    <xf numFmtId="38" fontId="3" fillId="0" borderId="0" xfId="1" applyFont="1" applyFill="1" applyBorder="1" applyAlignment="1"/>
    <xf numFmtId="38" fontId="6" fillId="0" borderId="5" xfId="0" applyNumberFormat="1" applyFont="1" applyBorder="1"/>
    <xf numFmtId="38" fontId="7" fillId="0" borderId="5" xfId="0" applyNumberFormat="1" applyFont="1" applyBorder="1"/>
    <xf numFmtId="38" fontId="10" fillId="15" borderId="4" xfId="1" applyFont="1" applyFill="1" applyBorder="1" applyAlignment="1">
      <alignment horizontal="center" vertical="center"/>
    </xf>
    <xf numFmtId="0" fontId="10" fillId="0" borderId="0" xfId="5" applyFont="1">
      <alignment vertical="center"/>
    </xf>
    <xf numFmtId="0" fontId="23" fillId="0" borderId="0" xfId="5" applyFont="1">
      <alignment vertical="center"/>
    </xf>
    <xf numFmtId="0" fontId="23" fillId="2" borderId="4" xfId="5" applyFont="1" applyFill="1" applyBorder="1" applyAlignment="1">
      <alignment horizontal="center" vertical="center"/>
    </xf>
    <xf numFmtId="0" fontId="10" fillId="2" borderId="4" xfId="5" applyFont="1" applyFill="1" applyBorder="1" applyAlignment="1">
      <alignment horizontal="center" vertical="center"/>
    </xf>
    <xf numFmtId="14" fontId="23" fillId="2" borderId="4" xfId="5" applyNumberFormat="1" applyFont="1" applyFill="1" applyBorder="1" applyAlignment="1">
      <alignment horizontal="center" vertical="center"/>
    </xf>
    <xf numFmtId="0" fontId="12" fillId="10" borderId="0" xfId="5" applyFont="1" applyFill="1">
      <alignment vertical="center"/>
    </xf>
    <xf numFmtId="0" fontId="23" fillId="4" borderId="4" xfId="5" applyFont="1" applyFill="1" applyBorder="1">
      <alignment vertical="center"/>
    </xf>
    <xf numFmtId="38" fontId="24" fillId="13" borderId="4" xfId="6" applyFont="1" applyFill="1" applyBorder="1" applyAlignment="1">
      <alignment horizontal="right" vertical="center"/>
    </xf>
    <xf numFmtId="38" fontId="23" fillId="2" borderId="4" xfId="6" applyFont="1" applyFill="1" applyBorder="1">
      <alignment vertical="center"/>
    </xf>
    <xf numFmtId="38" fontId="23" fillId="4" borderId="4" xfId="6" applyFont="1" applyFill="1" applyBorder="1">
      <alignment vertical="center"/>
    </xf>
    <xf numFmtId="0" fontId="12" fillId="3" borderId="0" xfId="5" applyFont="1" applyFill="1">
      <alignment vertical="center"/>
    </xf>
    <xf numFmtId="38" fontId="26" fillId="4" borderId="4" xfId="6" applyFont="1" applyFill="1" applyBorder="1">
      <alignment vertical="center"/>
    </xf>
    <xf numFmtId="38" fontId="16" fillId="2" borderId="4" xfId="6" applyFont="1" applyFill="1" applyBorder="1">
      <alignment vertical="center"/>
    </xf>
    <xf numFmtId="38" fontId="16" fillId="4" borderId="4" xfId="6" applyFont="1" applyFill="1" applyBorder="1">
      <alignment vertical="center"/>
    </xf>
    <xf numFmtId="38" fontId="27" fillId="4" borderId="4" xfId="6" applyFont="1" applyFill="1" applyBorder="1">
      <alignment vertical="center"/>
    </xf>
    <xf numFmtId="0" fontId="16" fillId="4" borderId="4" xfId="5" applyFont="1" applyFill="1" applyBorder="1">
      <alignment vertical="center"/>
    </xf>
    <xf numFmtId="0" fontId="24" fillId="3" borderId="0" xfId="5" applyFont="1" applyFill="1">
      <alignment vertical="center"/>
    </xf>
    <xf numFmtId="0" fontId="20" fillId="3" borderId="0" xfId="5" applyFont="1" applyFill="1">
      <alignment vertical="center"/>
    </xf>
    <xf numFmtId="38" fontId="23" fillId="2" borderId="4" xfId="7" applyFont="1" applyFill="1" applyBorder="1">
      <alignment vertical="center"/>
    </xf>
    <xf numFmtId="38" fontId="23" fillId="4" borderId="4" xfId="7" applyFont="1" applyFill="1" applyBorder="1">
      <alignment vertical="center"/>
    </xf>
    <xf numFmtId="38" fontId="27" fillId="4" borderId="4" xfId="7" applyFont="1" applyFill="1" applyBorder="1">
      <alignment vertical="center"/>
    </xf>
    <xf numFmtId="38" fontId="23" fillId="2" borderId="4" xfId="7" applyFont="1" applyFill="1" applyBorder="1" applyAlignment="1">
      <alignment vertical="center"/>
    </xf>
    <xf numFmtId="0" fontId="23" fillId="4" borderId="4" xfId="8" applyFont="1" applyFill="1" applyBorder="1">
      <alignment vertical="center"/>
    </xf>
    <xf numFmtId="38" fontId="16" fillId="2" borderId="4" xfId="6" applyFont="1" applyFill="1" applyBorder="1" applyAlignment="1">
      <alignment vertical="center"/>
    </xf>
    <xf numFmtId="38" fontId="23" fillId="2" borderId="4" xfId="6" applyFont="1" applyFill="1" applyBorder="1" applyAlignment="1">
      <alignment vertical="center"/>
    </xf>
    <xf numFmtId="38" fontId="23" fillId="4" borderId="4" xfId="6" applyFont="1" applyFill="1" applyBorder="1" applyAlignment="1">
      <alignment vertical="center"/>
    </xf>
    <xf numFmtId="38" fontId="27" fillId="4" borderId="4" xfId="6" applyFont="1" applyFill="1" applyBorder="1" applyAlignment="1">
      <alignment vertical="center"/>
    </xf>
    <xf numFmtId="38" fontId="16" fillId="4" borderId="4" xfId="6" applyFont="1" applyFill="1" applyBorder="1" applyAlignment="1">
      <alignment vertical="center"/>
    </xf>
    <xf numFmtId="38" fontId="26" fillId="4" borderId="4" xfId="7" applyFont="1" applyFill="1" applyBorder="1">
      <alignment vertical="center"/>
    </xf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indent="1"/>
    </xf>
    <xf numFmtId="0" fontId="0" fillId="9" borderId="4" xfId="0" applyFill="1" applyBorder="1" applyAlignment="1">
      <alignment horizontal="left"/>
    </xf>
    <xf numFmtId="0" fontId="0" fillId="9" borderId="4" xfId="0" applyFill="1" applyBorder="1"/>
    <xf numFmtId="0" fontId="0" fillId="9" borderId="4" xfId="0" applyFill="1" applyBorder="1" applyAlignment="1">
      <alignment horizontal="left" indent="1"/>
    </xf>
    <xf numFmtId="0" fontId="0" fillId="10" borderId="4" xfId="0" applyFill="1" applyBorder="1" applyAlignment="1">
      <alignment horizontal="left"/>
    </xf>
    <xf numFmtId="0" fontId="0" fillId="10" borderId="4" xfId="0" applyFill="1" applyBorder="1"/>
    <xf numFmtId="0" fontId="0" fillId="10" borderId="4" xfId="0" applyFill="1" applyBorder="1" applyAlignment="1">
      <alignment horizontal="left" indent="1"/>
    </xf>
    <xf numFmtId="0" fontId="0" fillId="3" borderId="4" xfId="0" applyFill="1" applyBorder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left" indent="1"/>
    </xf>
    <xf numFmtId="0" fontId="8" fillId="10" borderId="4" xfId="0" applyFont="1" applyFill="1" applyBorder="1" applyAlignment="1">
      <alignment horizontal="center"/>
    </xf>
    <xf numFmtId="38" fontId="0" fillId="10" borderId="4" xfId="1" applyFont="1" applyFill="1" applyBorder="1" applyAlignment="1"/>
    <xf numFmtId="38" fontId="8" fillId="10" borderId="4" xfId="1" applyFont="1" applyFill="1" applyBorder="1" applyAlignment="1"/>
    <xf numFmtId="38" fontId="0" fillId="3" borderId="4" xfId="1" applyFont="1" applyFill="1" applyBorder="1" applyAlignment="1"/>
    <xf numFmtId="38" fontId="8" fillId="3" borderId="4" xfId="1" applyFont="1" applyFill="1" applyBorder="1" applyAlignment="1"/>
    <xf numFmtId="38" fontId="0" fillId="9" borderId="4" xfId="1" applyFont="1" applyFill="1" applyBorder="1" applyAlignment="1"/>
    <xf numFmtId="38" fontId="11" fillId="9" borderId="4" xfId="1" applyFont="1" applyFill="1" applyBorder="1" applyAlignment="1"/>
    <xf numFmtId="38" fontId="0" fillId="0" borderId="4" xfId="1" applyFont="1" applyBorder="1" applyAlignment="1"/>
    <xf numFmtId="38" fontId="8" fillId="0" borderId="4" xfId="1" applyFont="1" applyBorder="1" applyAlignment="1"/>
    <xf numFmtId="38" fontId="10" fillId="5" borderId="4" xfId="1" applyFont="1" applyFill="1" applyBorder="1" applyAlignment="1">
      <alignment horizontal="center" vertical="center"/>
    </xf>
    <xf numFmtId="38" fontId="12" fillId="0" borderId="4" xfId="1" applyFont="1" applyFill="1" applyBorder="1" applyAlignment="1">
      <alignment horizontal="center" vertical="center"/>
    </xf>
    <xf numFmtId="38" fontId="17" fillId="13" borderId="3" xfId="1" applyFont="1" applyFill="1" applyBorder="1" applyAlignment="1"/>
    <xf numFmtId="0" fontId="10" fillId="9" borderId="4" xfId="4" applyFont="1" applyFill="1" applyBorder="1" applyAlignment="1">
      <alignment horizontal="center" vertical="center"/>
    </xf>
    <xf numFmtId="38" fontId="10" fillId="9" borderId="4" xfId="1" applyFont="1" applyFill="1" applyBorder="1" applyAlignment="1">
      <alignment horizontal="center" vertical="center"/>
    </xf>
    <xf numFmtId="3" fontId="13" fillId="2" borderId="0" xfId="0" applyNumberFormat="1" applyFont="1" applyFill="1"/>
    <xf numFmtId="0" fontId="0" fillId="5" borderId="0" xfId="0" applyFill="1"/>
    <xf numFmtId="10" fontId="28" fillId="0" borderId="0" xfId="2" applyNumberFormat="1" applyFont="1" applyAlignment="1"/>
    <xf numFmtId="38" fontId="12" fillId="0" borderId="4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10" fillId="9" borderId="4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4" fontId="12" fillId="0" borderId="4" xfId="2" applyNumberFormat="1" applyFont="1" applyBorder="1" applyAlignment="1">
      <alignment horizontal="center" vertical="center"/>
    </xf>
    <xf numFmtId="0" fontId="29" fillId="0" borderId="0" xfId="0" applyFont="1"/>
    <xf numFmtId="3" fontId="30" fillId="0" borderId="0" xfId="0" applyNumberFormat="1" applyFont="1" applyAlignment="1">
      <alignment horizontal="center"/>
    </xf>
    <xf numFmtId="3" fontId="10" fillId="0" borderId="4" xfId="2" applyNumberFormat="1" applyFont="1" applyFill="1" applyBorder="1" applyAlignment="1">
      <alignment horizontal="center" vertical="center"/>
    </xf>
    <xf numFmtId="0" fontId="31" fillId="0" borderId="0" xfId="0" applyFont="1"/>
    <xf numFmtId="0" fontId="32" fillId="0" borderId="0" xfId="0" applyFont="1"/>
    <xf numFmtId="0" fontId="3" fillId="16" borderId="0" xfId="0" applyFont="1" applyFill="1"/>
    <xf numFmtId="0" fontId="5" fillId="2" borderId="0" xfId="0" applyFont="1" applyFill="1"/>
    <xf numFmtId="38" fontId="17" fillId="0" borderId="0" xfId="1" applyFont="1" applyFill="1" applyAlignment="1"/>
    <xf numFmtId="3" fontId="17" fillId="0" borderId="3" xfId="1" applyNumberFormat="1" applyFont="1" applyFill="1" applyBorder="1" applyAlignment="1"/>
    <xf numFmtId="0" fontId="3" fillId="0" borderId="2" xfId="0" applyFont="1" applyBorder="1"/>
    <xf numFmtId="3" fontId="3" fillId="0" borderId="3" xfId="1" applyNumberFormat="1" applyFont="1" applyFill="1" applyBorder="1" applyAlignment="1"/>
    <xf numFmtId="3" fontId="13" fillId="0" borderId="3" xfId="1" applyNumberFormat="1" applyFont="1" applyFill="1" applyBorder="1" applyAlignment="1"/>
    <xf numFmtId="4" fontId="3" fillId="0" borderId="0" xfId="1" applyNumberFormat="1" applyFont="1" applyFill="1" applyAlignment="1"/>
    <xf numFmtId="3" fontId="32" fillId="0" borderId="3" xfId="1" applyNumberFormat="1" applyFont="1" applyFill="1" applyBorder="1" applyAlignment="1"/>
    <xf numFmtId="0" fontId="32" fillId="0" borderId="5" xfId="0" applyFont="1" applyBorder="1"/>
    <xf numFmtId="3" fontId="32" fillId="0" borderId="6" xfId="1" applyNumberFormat="1" applyFont="1" applyFill="1" applyBorder="1" applyAlignment="1"/>
    <xf numFmtId="3" fontId="4" fillId="0" borderId="3" xfId="1" applyNumberFormat="1" applyFont="1" applyFill="1" applyBorder="1" applyAlignment="1"/>
    <xf numFmtId="38" fontId="18" fillId="3" borderId="0" xfId="0" applyNumberFormat="1" applyFont="1" applyFill="1"/>
    <xf numFmtId="3" fontId="3" fillId="0" borderId="0" xfId="1" applyNumberFormat="1" applyFont="1" applyFill="1" applyBorder="1" applyAlignment="1"/>
    <xf numFmtId="3" fontId="17" fillId="0" borderId="5" xfId="0" applyNumberFormat="1" applyFont="1" applyBorder="1"/>
    <xf numFmtId="0" fontId="33" fillId="0" borderId="0" xfId="0" applyFont="1"/>
    <xf numFmtId="9" fontId="33" fillId="0" borderId="0" xfId="2" applyFont="1" applyAlignment="1"/>
    <xf numFmtId="0" fontId="34" fillId="0" borderId="0" xfId="0" applyFont="1"/>
    <xf numFmtId="0" fontId="33" fillId="0" borderId="0" xfId="0" applyFont="1" applyAlignment="1">
      <alignment horizontal="center"/>
    </xf>
    <xf numFmtId="38" fontId="15" fillId="0" borderId="0" xfId="0" applyNumberFormat="1" applyFont="1"/>
    <xf numFmtId="9" fontId="33" fillId="0" borderId="0" xfId="0" applyNumberFormat="1" applyFont="1"/>
    <xf numFmtId="9" fontId="5" fillId="9" borderId="0" xfId="0" applyNumberFormat="1" applyFont="1" applyFill="1"/>
    <xf numFmtId="0" fontId="5" fillId="9" borderId="0" xfId="0" applyFont="1" applyFill="1"/>
    <xf numFmtId="0" fontId="32" fillId="2" borderId="0" xfId="0" applyFont="1" applyFill="1"/>
    <xf numFmtId="38" fontId="13" fillId="0" borderId="0" xfId="1" applyFont="1" applyFill="1" applyBorder="1" applyAlignment="1"/>
    <xf numFmtId="9" fontId="5" fillId="9" borderId="8" xfId="0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38" fontId="3" fillId="2" borderId="0" xfId="1" applyFont="1" applyFill="1" applyAlignment="1"/>
    <xf numFmtId="38" fontId="3" fillId="2" borderId="5" xfId="1" applyFont="1" applyFill="1" applyBorder="1" applyAlignment="1"/>
    <xf numFmtId="38" fontId="21" fillId="2" borderId="0" xfId="1" applyFont="1" applyFill="1" applyBorder="1" applyAlignment="1"/>
    <xf numFmtId="0" fontId="4" fillId="0" borderId="3" xfId="0" applyFont="1" applyBorder="1"/>
    <xf numFmtId="0" fontId="5" fillId="2" borderId="5" xfId="0" applyFont="1" applyFill="1" applyBorder="1"/>
    <xf numFmtId="0" fontId="32" fillId="2" borderId="5" xfId="0" applyFont="1" applyFill="1" applyBorder="1"/>
    <xf numFmtId="3" fontId="32" fillId="2" borderId="6" xfId="1" applyNumberFormat="1" applyFont="1" applyFill="1" applyBorder="1" applyAlignment="1"/>
    <xf numFmtId="3" fontId="13" fillId="0" borderId="0" xfId="1" applyNumberFormat="1" applyFont="1" applyFill="1" applyBorder="1" applyAlignment="1"/>
    <xf numFmtId="3" fontId="32" fillId="0" borderId="3" xfId="1" applyNumberFormat="1" applyFont="1" applyBorder="1" applyAlignment="1"/>
    <xf numFmtId="38" fontId="8" fillId="0" borderId="0" xfId="0" applyNumberFormat="1" applyFont="1"/>
    <xf numFmtId="0" fontId="12" fillId="8" borderId="4" xfId="4" applyFont="1" applyFill="1" applyBorder="1" applyAlignment="1">
      <alignment horizontal="center" vertical="center"/>
    </xf>
    <xf numFmtId="38" fontId="6" fillId="0" borderId="0" xfId="0" applyNumberFormat="1" applyFont="1" applyAlignment="1">
      <alignment horizontal="center"/>
    </xf>
    <xf numFmtId="38" fontId="3" fillId="2" borderId="3" xfId="1" applyFont="1" applyFill="1" applyBorder="1" applyAlignment="1"/>
    <xf numFmtId="38" fontId="10" fillId="0" borderId="4" xfId="4" applyNumberFormat="1" applyFont="1" applyBorder="1" applyAlignment="1">
      <alignment horizontal="center" vertical="center"/>
    </xf>
    <xf numFmtId="38" fontId="12" fillId="10" borderId="7" xfId="1" applyFont="1" applyFill="1" applyBorder="1" applyAlignment="1">
      <alignment horizontal="center" vertical="center"/>
    </xf>
    <xf numFmtId="38" fontId="28" fillId="0" borderId="4" xfId="1" applyFont="1" applyBorder="1" applyAlignment="1">
      <alignment horizontal="center" vertical="center"/>
    </xf>
    <xf numFmtId="0" fontId="5" fillId="3" borderId="0" xfId="0" applyFont="1" applyFill="1"/>
    <xf numFmtId="38" fontId="33" fillId="10" borderId="0" xfId="0" applyNumberFormat="1" applyFont="1" applyFill="1"/>
    <xf numFmtId="0" fontId="33" fillId="10" borderId="0" xfId="0" applyFont="1" applyFill="1"/>
    <xf numFmtId="0" fontId="3" fillId="14" borderId="0" xfId="0" applyFont="1" applyFill="1"/>
    <xf numFmtId="0" fontId="6" fillId="1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38" fontId="0" fillId="3" borderId="0" xfId="0" applyNumberFormat="1" applyFill="1"/>
    <xf numFmtId="0" fontId="0" fillId="10" borderId="0" xfId="0" applyFill="1" applyAlignment="1">
      <alignment horizontal="left"/>
    </xf>
    <xf numFmtId="38" fontId="0" fillId="10" borderId="0" xfId="0" applyNumberFormat="1" applyFill="1"/>
    <xf numFmtId="0" fontId="0" fillId="14" borderId="0" xfId="0" applyFill="1" applyAlignment="1">
      <alignment horizontal="left"/>
    </xf>
    <xf numFmtId="38" fontId="0" fillId="14" borderId="0" xfId="0" applyNumberFormat="1" applyFill="1"/>
    <xf numFmtId="38" fontId="0" fillId="0" borderId="0" xfId="1" applyFont="1" applyAlignment="1"/>
    <xf numFmtId="0" fontId="0" fillId="14" borderId="4" xfId="0" applyFill="1" applyBorder="1"/>
    <xf numFmtId="38" fontId="8" fillId="0" borderId="0" xfId="1" applyFont="1" applyAlignment="1"/>
    <xf numFmtId="3" fontId="3" fillId="13" borderId="0" xfId="1" applyNumberFormat="1" applyFont="1" applyFill="1" applyBorder="1" applyAlignment="1"/>
    <xf numFmtId="3" fontId="3" fillId="0" borderId="0" xfId="1" applyNumberFormat="1" applyFont="1" applyBorder="1" applyAlignment="1"/>
    <xf numFmtId="38" fontId="22" fillId="0" borderId="0" xfId="0" applyNumberFormat="1" applyFont="1"/>
    <xf numFmtId="38" fontId="6" fillId="9" borderId="4" xfId="0" applyNumberFormat="1" applyFont="1" applyFill="1" applyBorder="1"/>
    <xf numFmtId="3" fontId="3" fillId="0" borderId="9" xfId="0" applyNumberFormat="1" applyFont="1" applyBorder="1"/>
    <xf numFmtId="0" fontId="6" fillId="11" borderId="10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11" borderId="12" xfId="0" applyFont="1" applyFill="1" applyBorder="1"/>
    <xf numFmtId="9" fontId="6" fillId="9" borderId="13" xfId="2" applyFont="1" applyFill="1" applyBorder="1" applyAlignment="1"/>
    <xf numFmtId="9" fontId="6" fillId="0" borderId="13" xfId="2" applyFont="1" applyBorder="1" applyAlignment="1"/>
    <xf numFmtId="0" fontId="6" fillId="11" borderId="14" xfId="0" applyFont="1" applyFill="1" applyBorder="1"/>
    <xf numFmtId="38" fontId="6" fillId="0" borderId="15" xfId="0" applyNumberFormat="1" applyFont="1" applyBorder="1"/>
    <xf numFmtId="9" fontId="6" fillId="0" borderId="16" xfId="2" applyFont="1" applyBorder="1" applyAlignment="1"/>
    <xf numFmtId="0" fontId="6" fillId="11" borderId="17" xfId="0" applyFont="1" applyFill="1" applyBorder="1" applyAlignment="1">
      <alignment horizontal="center"/>
    </xf>
    <xf numFmtId="0" fontId="6" fillId="11" borderId="18" xfId="0" applyFont="1" applyFill="1" applyBorder="1" applyAlignment="1">
      <alignment horizontal="center"/>
    </xf>
    <xf numFmtId="38" fontId="18" fillId="9" borderId="12" xfId="0" applyNumberFormat="1" applyFont="1" applyFill="1" applyBorder="1"/>
    <xf numFmtId="9" fontId="7" fillId="9" borderId="13" xfId="2" applyFont="1" applyFill="1" applyBorder="1" applyAlignment="1"/>
    <xf numFmtId="0" fontId="6" fillId="11" borderId="19" xfId="0" applyFont="1" applyFill="1" applyBorder="1" applyAlignment="1">
      <alignment horizontal="center"/>
    </xf>
    <xf numFmtId="9" fontId="6" fillId="11" borderId="20" xfId="2" applyFont="1" applyFill="1" applyBorder="1" applyAlignment="1">
      <alignment horizontal="center"/>
    </xf>
    <xf numFmtId="38" fontId="18" fillId="9" borderId="14" xfId="0" applyNumberFormat="1" applyFont="1" applyFill="1" applyBorder="1"/>
    <xf numFmtId="9" fontId="7" fillId="9" borderId="16" xfId="2" applyFont="1" applyFill="1" applyBorder="1" applyAlignment="1"/>
    <xf numFmtId="38" fontId="13" fillId="0" borderId="0" xfId="1" applyFont="1" applyAlignment="1"/>
    <xf numFmtId="4" fontId="3" fillId="0" borderId="3" xfId="1" applyNumberFormat="1" applyFont="1" applyBorder="1" applyAlignment="1"/>
    <xf numFmtId="3" fontId="3" fillId="0" borderId="3" xfId="0" applyNumberFormat="1" applyFont="1" applyBorder="1"/>
    <xf numFmtId="3" fontId="3" fillId="0" borderId="21" xfId="0" applyNumberFormat="1" applyFont="1" applyBorder="1"/>
    <xf numFmtId="38" fontId="17" fillId="0" borderId="22" xfId="1" applyFont="1" applyFill="1" applyBorder="1" applyAlignment="1"/>
    <xf numFmtId="3" fontId="3" fillId="2" borderId="0" xfId="1" applyNumberFormat="1" applyFont="1" applyFill="1" applyBorder="1" applyAlignment="1"/>
    <xf numFmtId="38" fontId="3" fillId="0" borderId="3" xfId="1" applyFont="1" applyFill="1" applyBorder="1" applyAlignme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38" fontId="13" fillId="0" borderId="3" xfId="1" applyFont="1" applyFill="1" applyBorder="1" applyAlignment="1"/>
  </cellXfs>
  <cellStyles count="9">
    <cellStyle name="パーセント" xfId="2" builtinId="5"/>
    <cellStyle name="桁区切り" xfId="1" builtinId="6"/>
    <cellStyle name="桁区切り 3" xfId="3" xr:uid="{74D42E54-E251-443D-93F5-F0ABAF318279}"/>
    <cellStyle name="桁区切り 3 2 2 2 2 2 4" xfId="7" xr:uid="{6A2281C1-0648-4401-89C2-A70D38D262DD}"/>
    <cellStyle name="桁区切り 3 2 2 3 2 4" xfId="6" xr:uid="{FBB4D45F-288D-4E74-8CC4-0655D24DB1D2}"/>
    <cellStyle name="標準" xfId="0" builtinId="0"/>
    <cellStyle name="標準 3" xfId="4" xr:uid="{BD737FBD-D51F-481A-9C85-027B4B2350A0}"/>
    <cellStyle name="標準 3 2 2 2 2 2 4" xfId="8" xr:uid="{E3035F3C-544E-48E4-A9C5-A7EEE0C26ACC}"/>
    <cellStyle name="標準 3 2 2 3 2 4" xfId="5" xr:uid="{6E2B8C6E-C88A-40F9-8DE4-E519DC51E1AD}"/>
  </cellStyles>
  <dxfs count="61"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6" formatCode="#,##0;[Red]\-#,##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a Hiroyuki (CSG.AD)" refreshedDate="45911.352872685187" createdVersion="8" refreshedVersion="8" minRefreshableVersion="3" recordCount="57" xr:uid="{57C091CA-856F-44F7-9463-213973EA8BD6}">
  <cacheSource type="worksheet">
    <worksheetSource ref="A1:R1048576" sheet="Plan1.2"/>
  </cacheSource>
  <cacheFields count="18">
    <cacheField name="サブチーム" numFmtId="0">
      <sharedItems containsBlank="1" count="4">
        <s v="業務ITT"/>
        <s v="業務改善T"/>
        <s v="製造T"/>
        <m/>
      </sharedItems>
    </cacheField>
    <cacheField name="クライアント名" numFmtId="0">
      <sharedItems containsBlank="1" count="29">
        <s v="DAISUE CONSTRUCTION CO.,LTD."/>
        <s v="JSOL Corporation"/>
        <s v="New Customer"/>
        <s v="NISHIMATSU CONSTRUCTION CO.,LTD."/>
        <s v="SHIMZ"/>
        <s v="Takenaka Corporation"/>
        <s v="Asunaro Aoki Construction Co.,Ltd."/>
        <s v="アプリ展開①：鍜治田工務店（大末横展開）"/>
        <s v="アプリ展開②：りんかい日産建設他（大末横展開）"/>
        <s v="アプリ展開③：錢高組他（大末横展開）"/>
        <s v="Daifuku Co., Ltd."/>
        <s v="DAIKIN INDUSTRIES, LTD."/>
        <s v="Daiwa House"/>
        <s v="DKI（ダイキン情報システム）"/>
        <s v="FAST RETAILING CO.,LTD."/>
        <s v="IODATA"/>
        <s v="KONICA MINOLTA, INC."/>
        <s v="LIXIL"/>
        <s v="Mitsubishi UFJ Trust System"/>
        <s v="Nissan Motor Co., Ltd."/>
        <s v="Panasonic Information Systems Co., Ltd."/>
        <s v="Siemens"/>
        <s v="SUNTORY"/>
        <s v="VIETNAM STANLEY ELECTRIC CO.,LTD"/>
        <s v="YKK AP Inc."/>
        <s v="オリックス銀行株式会社"/>
        <s v="ヤンマー"/>
        <s v="野村不動産"/>
        <m/>
      </sharedItems>
    </cacheField>
    <cacheField name="PJ名" numFmtId="0">
      <sharedItems containsBlank="1"/>
    </cacheField>
    <cacheField name="売上総額" numFmtId="0">
      <sharedItems containsString="0" containsBlank="1" containsNumber="1" minValue="0" maxValue="47500000"/>
    </cacheField>
    <cacheField name="5－12月" numFmtId="0">
      <sharedItems containsString="0" containsBlank="1" containsNumber="1" minValue="0" maxValue="47500000"/>
    </cacheField>
    <cacheField name="1月" numFmtId="0">
      <sharedItems containsString="0" containsBlank="1" containsNumber="1" containsInteger="1" minValue="0" maxValue="6600000"/>
    </cacheField>
    <cacheField name="2月" numFmtId="0">
      <sharedItems containsString="0" containsBlank="1" containsNumber="1" containsInteger="1" minValue="0" maxValue="4950000"/>
    </cacheField>
    <cacheField name="3月" numFmtId="0">
      <sharedItems containsString="0" containsBlank="1" containsNumber="1" minValue="0" maxValue="6700000"/>
    </cacheField>
    <cacheField name="4月" numFmtId="0">
      <sharedItems containsString="0" containsBlank="1" containsNumber="1" minValue="0" maxValue="6280000"/>
    </cacheField>
    <cacheField name="5月" numFmtId="0">
      <sharedItems containsString="0" containsBlank="1" containsNumber="1" minValue="0" maxValue="5580000"/>
    </cacheField>
    <cacheField name="6月" numFmtId="0">
      <sharedItems containsString="0" containsBlank="1" containsNumber="1" containsInteger="1" minValue="0" maxValue="12320000"/>
    </cacheField>
    <cacheField name="7月" numFmtId="0">
      <sharedItems containsString="0" containsBlank="1" containsNumber="1" containsInteger="1" minValue="0" maxValue="12320000"/>
    </cacheField>
    <cacheField name="8月" numFmtId="0">
      <sharedItems containsString="0" containsBlank="1" containsNumber="1" containsInteger="1" minValue="0" maxValue="12320000"/>
    </cacheField>
    <cacheField name="9月" numFmtId="0">
      <sharedItems containsString="0" containsBlank="1" containsNumber="1" containsInteger="1" minValue="0" maxValue="10540000"/>
    </cacheField>
    <cacheField name="10月" numFmtId="0">
      <sharedItems containsString="0" containsBlank="1" containsNumber="1" containsInteger="1" minValue="0" maxValue="10540000"/>
    </cacheField>
    <cacheField name="11月" numFmtId="0">
      <sharedItems containsString="0" containsBlank="1" containsNumber="1" containsInteger="1" minValue="0" maxValue="10540000"/>
    </cacheField>
    <cacheField name="12月" numFmtId="0">
      <sharedItems containsString="0" containsBlank="1" containsNumber="1" containsInteger="1" minValue="0" maxValue="8540000"/>
    </cacheField>
    <cacheField name="確度：A,B,C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ta Hiroyuki (CSG.AD)" refreshedDate="45953.91860636574" createdVersion="8" refreshedVersion="8" minRefreshableVersion="3" recordCount="108" xr:uid="{4FC23593-BCF2-4D14-84ED-633ABE955BA2}">
  <cacheSource type="worksheet">
    <worksheetSource ref="A1:O109" sheet="PreSales"/>
  </cacheSource>
  <cacheFields count="15">
    <cacheField name="Project Name" numFmtId="0">
      <sharedItems/>
    </cacheField>
    <cacheField name="CRM Quote" numFmtId="0">
      <sharedItems/>
    </cacheField>
    <cacheField name="Opp ID" numFmtId="0">
      <sharedItems/>
    </cacheField>
    <cacheField name="Account" numFmtId="0">
      <sharedItems count="9">
        <s v="DAIKIN"/>
        <s v="TNK"/>
        <s v="NM"/>
        <s v="JSOL"/>
        <s v="OrixB"/>
        <s v="DFK"/>
        <s v="AAK"/>
        <s v="DAISUE"/>
        <s v="YKKAP"/>
      </sharedItems>
    </cacheField>
    <cacheField name="Opp presale-team" numFmtId="0">
      <sharedItems/>
    </cacheField>
    <cacheField name="Dept " numFmtId="0">
      <sharedItems/>
    </cacheField>
    <cacheField name="FCJ Members" numFmtId="0">
      <sharedItems containsBlank="1"/>
    </cacheField>
    <cacheField name="Updated" numFmtId="0">
      <sharedItems containsNonDate="0" containsString="0" containsBlank="1"/>
    </cacheField>
    <cacheField name="Period" numFmtId="0">
      <sharedItems containsSemiMixedTypes="0" containsString="0" containsNumber="1" containsInteger="1" minValue="0" maxValue="0"/>
    </cacheField>
    <cacheField name="Total Proposed Revenue(FPT+FCJ)" numFmtId="0">
      <sharedItems containsSemiMixedTypes="0" containsString="0" containsNumber="1" containsInteger="1" minValue="11398" maxValue="476154000"/>
    </cacheField>
    <cacheField name="Period2" numFmtId="0">
      <sharedItems containsMixedTypes="1" containsNumber="1" containsInteger="1" minValue="60" maxValue="48000000"/>
    </cacheField>
    <cacheField name="Total estimated revenue (FPT+FCJ)" numFmtId="0">
      <sharedItems containsSemiMixedTypes="0" containsString="0" containsNumber="1" containsInteger="1" minValue="11398" maxValue="476154000"/>
    </cacheField>
    <cacheField name="Period3" numFmtId="0">
      <sharedItems containsMixedTypes="1" containsNumber="1" minValue="0" maxValue="887738427.42999995"/>
    </cacheField>
    <cacheField name="Total Contracted Revenue(TCV: FPT+FCJ)" numFmtId="0">
      <sharedItems containsSemiMixedTypes="0" containsString="0" containsNumber="1" containsInteger="1" minValue="0" maxValue="412479000"/>
    </cacheField>
    <cacheField name="FCJ 5%" numFmtId="0">
      <sharedItems containsSemiMixedTypes="0" containsString="0" containsNumber="1" minValue="0" maxValue="206239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s v="BIMモデリング支援"/>
    <n v="150000"/>
    <n v="0"/>
    <n v="150000"/>
    <n v="0"/>
    <n v="0"/>
    <n v="0"/>
    <n v="0"/>
    <n v="0"/>
    <n v="0"/>
    <n v="0"/>
    <n v="0"/>
    <n v="0"/>
    <n v="0"/>
    <n v="0"/>
    <s v="A"/>
  </r>
  <r>
    <x v="0"/>
    <x v="0"/>
    <s v="BIM動画フォーマット作成"/>
    <n v="450000"/>
    <n v="0"/>
    <n v="0"/>
    <n v="0"/>
    <n v="450000"/>
    <n v="0"/>
    <n v="0"/>
    <n v="0"/>
    <n v="0"/>
    <n v="0"/>
    <n v="0"/>
    <n v="0"/>
    <n v="0"/>
    <n v="0"/>
    <s v="A"/>
  </r>
  <r>
    <x v="0"/>
    <x v="0"/>
    <s v="BIM動画作成"/>
    <n v="575"/>
    <n v="575"/>
    <m/>
    <m/>
    <m/>
    <m/>
    <m/>
    <n v="275"/>
    <m/>
    <m/>
    <n v="150"/>
    <m/>
    <m/>
    <n v="150"/>
    <s v="A"/>
  </r>
  <r>
    <x v="0"/>
    <x v="1"/>
    <s v="BIMテンプレート支援"/>
    <n v="840000"/>
    <n v="0"/>
    <n v="0"/>
    <n v="0"/>
    <n v="840000"/>
    <n v="0"/>
    <n v="0"/>
    <n v="0"/>
    <n v="0"/>
    <n v="0"/>
    <n v="0"/>
    <n v="0"/>
    <n v="0"/>
    <n v="0"/>
    <s v="A"/>
  </r>
  <r>
    <x v="0"/>
    <x v="1"/>
    <s v="BIM汎用コンポーネント開発支援"/>
    <n v="13840000"/>
    <n v="13840000"/>
    <n v="0"/>
    <n v="0"/>
    <n v="0"/>
    <n v="0"/>
    <n v="3100000"/>
    <n v="3100000"/>
    <n v="2260000"/>
    <n v="1980000"/>
    <n v="1700000"/>
    <n v="1700000"/>
    <n v="0"/>
    <n v="0"/>
    <s v="A"/>
  </r>
  <r>
    <x v="0"/>
    <x v="1"/>
    <s v="建設DXコンサル支援（ナカノフドー建設）"/>
    <n v="5880"/>
    <n v="5880"/>
    <m/>
    <m/>
    <m/>
    <m/>
    <m/>
    <m/>
    <n v="1960"/>
    <n v="1960"/>
    <n v="1960"/>
    <m/>
    <m/>
    <m/>
    <s v="B"/>
  </r>
  <r>
    <x v="0"/>
    <x v="2"/>
    <s v="デジタルツイン（Akila PoCプラン）"/>
    <n v="2400"/>
    <n v="2400"/>
    <m/>
    <m/>
    <m/>
    <m/>
    <m/>
    <m/>
    <n v="300"/>
    <n v="300"/>
    <n v="300"/>
    <n v="300"/>
    <n v="600"/>
    <n v="600"/>
    <s v="O"/>
  </r>
  <r>
    <x v="0"/>
    <x v="3"/>
    <s v="BIMモデリング支援"/>
    <n v="7500000"/>
    <n v="4500000"/>
    <n v="750000"/>
    <n v="750000"/>
    <n v="750000"/>
    <n v="750000"/>
    <n v="750000"/>
    <n v="750000"/>
    <n v="750000"/>
    <n v="750000"/>
    <n v="750000"/>
    <n v="750000"/>
    <n v="0"/>
    <n v="0"/>
    <s v="O"/>
  </r>
  <r>
    <x v="0"/>
    <x v="4"/>
    <s v="FM事業支援"/>
    <n v="6000000"/>
    <n v="6000000"/>
    <n v="0"/>
    <n v="0"/>
    <n v="0"/>
    <n v="0"/>
    <n v="0"/>
    <n v="0"/>
    <n v="1000000"/>
    <n v="1000000"/>
    <n v="1000000"/>
    <n v="1000000"/>
    <n v="1000000"/>
    <n v="1000000"/>
    <s v="B"/>
  </r>
  <r>
    <x v="0"/>
    <x v="5"/>
    <s v="BIM基盤構築（1-2月）※コンサル"/>
    <n v="11550000"/>
    <n v="0"/>
    <n v="6600000"/>
    <n v="4950000"/>
    <n v="0"/>
    <n v="0"/>
    <n v="0"/>
    <n v="0"/>
    <n v="0"/>
    <n v="0"/>
    <n v="0"/>
    <n v="0"/>
    <n v="0"/>
    <n v="0"/>
    <s v="A"/>
  </r>
  <r>
    <x v="0"/>
    <x v="5"/>
    <s v="BIM基盤構築（3-7月）※コンサル"/>
    <n v="25100000"/>
    <n v="12120000"/>
    <n v="0"/>
    <n v="0"/>
    <n v="6700000"/>
    <n v="6280000"/>
    <n v="5580000"/>
    <n v="4180000"/>
    <n v="2360000"/>
    <n v="0"/>
    <n v="0"/>
    <n v="0"/>
    <n v="0"/>
    <n v="0"/>
    <s v="A"/>
  </r>
  <r>
    <x v="0"/>
    <x v="5"/>
    <s v="BIM基盤構築（8-12月）※コンサル"/>
    <n v="20050000"/>
    <n v="20050000"/>
    <n v="0"/>
    <n v="0"/>
    <n v="0"/>
    <n v="0"/>
    <n v="0"/>
    <n v="0"/>
    <n v="0"/>
    <n v="3410000"/>
    <n v="3880000"/>
    <n v="3880000"/>
    <n v="4440000"/>
    <n v="4440000"/>
    <s v="B"/>
  </r>
  <r>
    <x v="0"/>
    <x v="5"/>
    <s v="BIM基盤構築（システム要件定義）"/>
    <n v="1750000"/>
    <n v="0"/>
    <n v="1750000"/>
    <n v="0"/>
    <n v="0"/>
    <n v="0"/>
    <n v="0"/>
    <n v="0"/>
    <n v="0"/>
    <n v="0"/>
    <n v="0"/>
    <n v="0"/>
    <n v="0"/>
    <n v="0"/>
    <s v="A"/>
  </r>
  <r>
    <x v="0"/>
    <x v="5"/>
    <s v="大阪本店 Akila導入検証"/>
    <n v="3000000"/>
    <n v="3000000"/>
    <n v="0"/>
    <n v="0"/>
    <n v="0"/>
    <n v="0"/>
    <n v="0"/>
    <n v="0"/>
    <n v="0"/>
    <n v="0"/>
    <n v="0"/>
    <n v="1000000"/>
    <n v="1000000"/>
    <n v="1000000"/>
    <s v="O"/>
  </r>
  <r>
    <x v="0"/>
    <x v="5"/>
    <s v="中央監視システム開発支援"/>
    <n v="2000000"/>
    <n v="2000000"/>
    <n v="0"/>
    <n v="0"/>
    <n v="0"/>
    <n v="0"/>
    <n v="0"/>
    <n v="0"/>
    <n v="0"/>
    <n v="0"/>
    <n v="1000000"/>
    <n v="1000000"/>
    <n v="0"/>
    <n v="0"/>
    <s v="C"/>
  </r>
  <r>
    <x v="0"/>
    <x v="5"/>
    <s v="BIM基盤構築（開発）"/>
    <n v="12000000"/>
    <n v="12000000"/>
    <m/>
    <m/>
    <m/>
    <m/>
    <m/>
    <m/>
    <m/>
    <m/>
    <n v="3000000"/>
    <n v="3000000"/>
    <n v="3000000"/>
    <n v="3000000"/>
    <s v="O"/>
  </r>
  <r>
    <x v="1"/>
    <x v="6"/>
    <s v="AAK_スマートBPO業務・方針整理（1月～9月）"/>
    <n v="22730000"/>
    <m/>
    <n v="4900000"/>
    <n v="2900000"/>
    <n v="2330000"/>
    <n v="2100000"/>
    <n v="2100000"/>
    <n v="2100000"/>
    <n v="2100000"/>
    <n v="2100000"/>
    <n v="2100000"/>
    <n v="0"/>
    <n v="0"/>
    <n v="0"/>
    <s v="A"/>
  </r>
  <r>
    <x v="1"/>
    <x v="6"/>
    <s v="AAK_スマートBPO業務・方針整理（10月～12月）"/>
    <n v="6300000"/>
    <m/>
    <n v="0"/>
    <n v="0"/>
    <n v="0"/>
    <n v="0"/>
    <n v="0"/>
    <n v="0"/>
    <n v="0"/>
    <n v="0"/>
    <n v="0"/>
    <n v="2100000"/>
    <n v="2100000"/>
    <n v="2100000"/>
    <s v="A"/>
  </r>
  <r>
    <x v="1"/>
    <x v="6"/>
    <s v="業務改善（1月～9月）"/>
    <n v="34800000"/>
    <m/>
    <n v="4600000"/>
    <n v="4600000"/>
    <n v="4600000"/>
    <n v="2750000"/>
    <n v="2750000"/>
    <n v="2750000"/>
    <n v="4250000"/>
    <n v="4250000"/>
    <n v="4250000"/>
    <n v="0"/>
    <n v="0"/>
    <n v="0"/>
    <s v="A"/>
  </r>
  <r>
    <x v="1"/>
    <x v="6"/>
    <s v="業務改善（10月～12月）"/>
    <n v="14050000"/>
    <m/>
    <n v="0"/>
    <n v="0"/>
    <n v="0"/>
    <n v="0"/>
    <n v="0"/>
    <n v="0"/>
    <n v="0"/>
    <n v="0"/>
    <n v="0"/>
    <n v="4850000"/>
    <n v="4850000"/>
    <n v="4350000"/>
    <s v="A"/>
  </r>
  <r>
    <x v="1"/>
    <x v="0"/>
    <s v="[Renew] DX system AMS phase（1月～9月）"/>
    <n v="8400000"/>
    <n v="3750000"/>
    <n v="1300000"/>
    <n v="1300000"/>
    <n v="1300000"/>
    <n v="750000"/>
    <n v="750000"/>
    <n v="750000"/>
    <n v="750000"/>
    <n v="750000"/>
    <n v="750000"/>
    <n v="0"/>
    <n v="0"/>
    <n v="0"/>
    <s v="A"/>
  </r>
  <r>
    <x v="1"/>
    <x v="0"/>
    <s v="[Renew] DX system AMS phase（10月～12月）"/>
    <n v="2250000"/>
    <n v="2250000"/>
    <n v="0"/>
    <n v="0"/>
    <n v="0"/>
    <n v="0"/>
    <n v="0"/>
    <n v="0"/>
    <n v="0"/>
    <n v="0"/>
    <n v="0"/>
    <n v="750000"/>
    <n v="750000"/>
    <n v="750000"/>
    <s v="A"/>
  </r>
  <r>
    <x v="1"/>
    <x v="0"/>
    <s v="DXS-2"/>
    <n v="12300000"/>
    <n v="12300000"/>
    <n v="0"/>
    <n v="0"/>
    <n v="0"/>
    <n v="0"/>
    <n v="0"/>
    <n v="0"/>
    <n v="1000000"/>
    <n v="1000000"/>
    <n v="3500000"/>
    <n v="3500000"/>
    <n v="1650000"/>
    <n v="1650000"/>
    <s v="O"/>
  </r>
  <r>
    <x v="1"/>
    <x v="0"/>
    <s v="基幹システムリプレイス（1月～9月）"/>
    <n v="47500000"/>
    <n v="47500000"/>
    <n v="0"/>
    <n v="0"/>
    <n v="0"/>
    <n v="0"/>
    <n v="0"/>
    <n v="12320000"/>
    <n v="12320000"/>
    <n v="12320000"/>
    <n v="10540000"/>
    <n v="0"/>
    <n v="0"/>
    <n v="0"/>
    <s v="A"/>
  </r>
  <r>
    <x v="1"/>
    <x v="0"/>
    <s v="基幹システムリプレイス（10月～12月）"/>
    <n v="29620000"/>
    <n v="29620000"/>
    <n v="0"/>
    <n v="0"/>
    <n v="0"/>
    <n v="0"/>
    <n v="0"/>
    <n v="0"/>
    <n v="0"/>
    <n v="0"/>
    <n v="0"/>
    <n v="10540000"/>
    <n v="10540000"/>
    <n v="8540000"/>
    <s v="A"/>
  </r>
  <r>
    <x v="1"/>
    <x v="7"/>
    <s v="DXS展開"/>
    <n v="13500000"/>
    <n v="13500000"/>
    <n v="0"/>
    <n v="0"/>
    <n v="0"/>
    <n v="0"/>
    <n v="0"/>
    <n v="0"/>
    <n v="0"/>
    <n v="0"/>
    <n v="0"/>
    <n v="4500000"/>
    <n v="4500000"/>
    <n v="4500000"/>
    <s v="O"/>
  </r>
  <r>
    <x v="1"/>
    <x v="8"/>
    <s v="DXS展開"/>
    <n v="9000000"/>
    <n v="9000000"/>
    <n v="0"/>
    <n v="0"/>
    <n v="0"/>
    <n v="0"/>
    <n v="0"/>
    <n v="0"/>
    <n v="0"/>
    <n v="0"/>
    <n v="0"/>
    <n v="3000000"/>
    <n v="3000000"/>
    <n v="3000000"/>
    <s v="O"/>
  </r>
  <r>
    <x v="1"/>
    <x v="9"/>
    <s v="DXS展開"/>
    <n v="9000000"/>
    <n v="9000000"/>
    <n v="0"/>
    <n v="0"/>
    <n v="0"/>
    <n v="0"/>
    <n v="0"/>
    <n v="0"/>
    <n v="0"/>
    <n v="0"/>
    <n v="0"/>
    <n v="3000000"/>
    <n v="3000000"/>
    <n v="3000000"/>
    <s v="O"/>
  </r>
  <r>
    <x v="2"/>
    <x v="10"/>
    <s v="3D CADチェックツール開発(第二弾)"/>
    <n v="1673347.5"/>
    <n v="800000"/>
    <n v="439050"/>
    <n v="0"/>
    <n v="0"/>
    <n v="434297.5"/>
    <n v="0"/>
    <n v="0"/>
    <n v="400000"/>
    <n v="0"/>
    <n v="0"/>
    <n v="400000"/>
    <n v="0"/>
    <n v="0"/>
    <s v="A"/>
  </r>
  <r>
    <x v="2"/>
    <x v="10"/>
    <s v="3Dモデリング2025年分作業 (BPO)"/>
    <n v="382950"/>
    <m/>
    <n v="47550"/>
    <n v="129900"/>
    <n v="70950"/>
    <n v="134550"/>
    <n v="0"/>
    <n v="0"/>
    <n v="0"/>
    <n v="0"/>
    <n v="0"/>
    <n v="0"/>
    <n v="0"/>
    <n v="0"/>
    <s v="A"/>
  </r>
  <r>
    <x v="2"/>
    <x v="10"/>
    <s v="AIものづくり支援環境構築"/>
    <n v="20503700"/>
    <n v="18893750"/>
    <n v="0"/>
    <n v="462450"/>
    <n v="1147500"/>
    <n v="0"/>
    <n v="181250"/>
    <n v="4137500"/>
    <n v="3387500"/>
    <n v="2237500"/>
    <n v="2237500"/>
    <n v="2237500"/>
    <n v="2237500"/>
    <n v="2237500"/>
    <s v="A"/>
  </r>
  <r>
    <x v="2"/>
    <x v="10"/>
    <s v="3D 格納状態図作成ツール開発"/>
    <n v="78000"/>
    <n v="0"/>
    <n v="78000"/>
    <m/>
    <m/>
    <m/>
    <m/>
    <m/>
    <m/>
    <m/>
    <m/>
    <m/>
    <m/>
    <m/>
    <s v="A"/>
  </r>
  <r>
    <x v="2"/>
    <x v="11"/>
    <s v="AI×CADによる設計自動化に向けたロードマップ作成支援"/>
    <n v="2599950"/>
    <n v="0"/>
    <n v="0"/>
    <n v="858000"/>
    <n v="1741950"/>
    <n v="0"/>
    <n v="0"/>
    <n v="0"/>
    <n v="0"/>
    <n v="0"/>
    <n v="0"/>
    <n v="0"/>
    <n v="0"/>
    <n v="0"/>
    <s v="A"/>
  </r>
  <r>
    <x v="2"/>
    <x v="11"/>
    <s v="ITインフラ基盤調査報告書作成支援"/>
    <n v="5050000"/>
    <n v="3787559.9993599998"/>
    <n v="0"/>
    <n v="0"/>
    <n v="0"/>
    <n v="1262440.00064"/>
    <n v="1262559.99936"/>
    <n v="2525000"/>
    <n v="0"/>
    <n v="0"/>
    <n v="0"/>
    <n v="0"/>
    <n v="0"/>
    <n v="0"/>
    <s v="A"/>
  </r>
  <r>
    <x v="2"/>
    <x v="11"/>
    <s v="NX addon development 2025"/>
    <n v="600000"/>
    <n v="0"/>
    <n v="300000"/>
    <n v="300000"/>
    <n v="0"/>
    <n v="0"/>
    <n v="0"/>
    <n v="0"/>
    <n v="0"/>
    <n v="0"/>
    <n v="0"/>
    <n v="0"/>
    <n v="0"/>
    <n v="0"/>
    <s v="A"/>
  </r>
  <r>
    <x v="2"/>
    <x v="12"/>
    <s v="大和ハウス　AI支援"/>
    <n v="20700000"/>
    <n v="20700000"/>
    <n v="0"/>
    <n v="0"/>
    <n v="0"/>
    <n v="0"/>
    <n v="0"/>
    <n v="0"/>
    <n v="3450000"/>
    <n v="3450000"/>
    <n v="3450000"/>
    <n v="3450000"/>
    <n v="3450000"/>
    <n v="3450000"/>
    <s v="O"/>
  </r>
  <r>
    <x v="2"/>
    <x v="13"/>
    <s v="akaBot支援"/>
    <n v="10000000"/>
    <n v="10000000"/>
    <n v="0"/>
    <n v="0"/>
    <n v="0"/>
    <n v="0"/>
    <n v="0"/>
    <n v="0"/>
    <n v="0"/>
    <n v="2000000"/>
    <n v="2000000"/>
    <n v="2000000"/>
    <n v="2000000"/>
    <n v="2000000"/>
    <s v="O"/>
  </r>
  <r>
    <x v="2"/>
    <x v="14"/>
    <s v="FR UiPath支援"/>
    <n v="0"/>
    <n v="0"/>
    <n v="0"/>
    <n v="0"/>
    <n v="0"/>
    <n v="0"/>
    <n v="0"/>
    <n v="0"/>
    <n v="0"/>
    <n v="0"/>
    <n v="0"/>
    <n v="0"/>
    <n v="0"/>
    <n v="0"/>
    <s v="O"/>
  </r>
  <r>
    <x v="2"/>
    <x v="15"/>
    <s v="PM/PL要員育成ロードマップ作成、教育支援"/>
    <n v="4000000"/>
    <n v="4000000"/>
    <n v="0"/>
    <n v="0"/>
    <n v="0"/>
    <n v="0"/>
    <n v="0"/>
    <n v="0"/>
    <n v="0"/>
    <n v="0"/>
    <n v="2000000"/>
    <n v="2000000"/>
    <n v="0"/>
    <n v="0"/>
    <s v="C"/>
  </r>
  <r>
    <x v="2"/>
    <x v="16"/>
    <s v="ECM/CDM replacement assessment phase"/>
    <n v="3000000"/>
    <n v="0"/>
    <n v="900000"/>
    <n v="900000"/>
    <n v="1200000"/>
    <n v="0"/>
    <n v="0"/>
    <n v="0"/>
    <n v="0"/>
    <n v="0"/>
    <n v="0"/>
    <n v="0"/>
    <n v="0"/>
    <n v="0"/>
    <s v="A"/>
  </r>
  <r>
    <x v="2"/>
    <x v="16"/>
    <s v="KMI_CDM刷新アセスメントフェーズ"/>
    <n v="0"/>
    <n v="0"/>
    <n v="0"/>
    <n v="0"/>
    <n v="0"/>
    <n v="0"/>
    <n v="0"/>
    <n v="0"/>
    <n v="0"/>
    <n v="0"/>
    <n v="0"/>
    <n v="0"/>
    <n v="0"/>
    <n v="0"/>
    <s v="O"/>
  </r>
  <r>
    <x v="2"/>
    <x v="17"/>
    <s v="BPO業務自動化支援"/>
    <n v="20000000"/>
    <n v="20000000"/>
    <n v="0"/>
    <n v="0"/>
    <n v="0"/>
    <n v="0"/>
    <n v="0"/>
    <n v="0"/>
    <n v="0"/>
    <n v="4000000"/>
    <n v="4000000"/>
    <n v="4000000"/>
    <n v="4000000"/>
    <n v="4000000"/>
    <s v="O"/>
  </r>
  <r>
    <x v="2"/>
    <x v="18"/>
    <s v="akaBot検証（4-6月）"/>
    <n v="0"/>
    <n v="0"/>
    <n v="0"/>
    <n v="0"/>
    <n v="0"/>
    <n v="0"/>
    <n v="0"/>
    <n v="0"/>
    <n v="0"/>
    <n v="0"/>
    <n v="0"/>
    <n v="0"/>
    <n v="0"/>
    <n v="0"/>
    <s v="O"/>
  </r>
  <r>
    <x v="2"/>
    <x v="18"/>
    <s v="UiPath開発"/>
    <n v="10000000"/>
    <n v="10000000"/>
    <n v="0"/>
    <n v="0"/>
    <n v="0"/>
    <n v="0"/>
    <n v="0"/>
    <n v="0"/>
    <n v="0"/>
    <n v="2000000"/>
    <n v="2000000"/>
    <n v="2000000"/>
    <n v="2000000"/>
    <n v="2000000"/>
    <s v="C"/>
  </r>
  <r>
    <x v="2"/>
    <x v="19"/>
    <s v="仮）日産自動車　TCNX支援"/>
    <n v="0"/>
    <n v="0"/>
    <n v="0"/>
    <n v="0"/>
    <n v="0"/>
    <n v="0"/>
    <n v="0"/>
    <n v="0"/>
    <n v="0"/>
    <n v="0"/>
    <n v="0"/>
    <n v="0"/>
    <n v="0"/>
    <n v="0"/>
    <s v="O"/>
  </r>
  <r>
    <x v="2"/>
    <x v="20"/>
    <s v="PISC_CADPLMサポート"/>
    <n v="0"/>
    <n v="0"/>
    <n v="0"/>
    <n v="0"/>
    <n v="0"/>
    <n v="0"/>
    <n v="0"/>
    <n v="0"/>
    <n v="0"/>
    <n v="0"/>
    <n v="0"/>
    <n v="0"/>
    <n v="0"/>
    <n v="0"/>
    <s v="O"/>
  </r>
  <r>
    <x v="2"/>
    <x v="20"/>
    <s v="PISC_Mendixサポート"/>
    <n v="0"/>
    <n v="0"/>
    <n v="0"/>
    <n v="0"/>
    <n v="0"/>
    <n v="0"/>
    <n v="0"/>
    <n v="0"/>
    <n v="0"/>
    <n v="0"/>
    <n v="0"/>
    <n v="0"/>
    <n v="0"/>
    <n v="0"/>
    <s v="O"/>
  </r>
  <r>
    <x v="2"/>
    <x v="21"/>
    <s v="NX/Teamcenter支援（バルミューダ）"/>
    <n v="10000000"/>
    <n v="10000000"/>
    <n v="0"/>
    <n v="0"/>
    <n v="0"/>
    <n v="0"/>
    <n v="0"/>
    <n v="0"/>
    <n v="0"/>
    <n v="2000000"/>
    <n v="2000000"/>
    <n v="2000000"/>
    <n v="2000000"/>
    <n v="2000000"/>
    <s v="O"/>
  </r>
  <r>
    <x v="2"/>
    <x v="22"/>
    <s v="仮）SUNTORY PowerAutomate移行支援"/>
    <n v="0"/>
    <n v="0"/>
    <n v="0"/>
    <n v="0"/>
    <n v="0"/>
    <n v="0"/>
    <n v="0"/>
    <n v="0"/>
    <n v="0"/>
    <n v="0"/>
    <n v="0"/>
    <n v="0"/>
    <n v="0"/>
    <n v="0"/>
    <s v="O"/>
  </r>
  <r>
    <x v="2"/>
    <x v="23"/>
    <s v="スタンレー支援（MSS案件）"/>
    <n v="0"/>
    <n v="0"/>
    <n v="0"/>
    <n v="0"/>
    <n v="0"/>
    <n v="0"/>
    <n v="0"/>
    <n v="0"/>
    <n v="0"/>
    <n v="0"/>
    <n v="0"/>
    <n v="0"/>
    <n v="0"/>
    <n v="0"/>
    <s v="O"/>
  </r>
  <r>
    <x v="2"/>
    <x v="24"/>
    <s v="YKKAP_次期AP-CADシステム刷新_開発フェーズ"/>
    <n v="6000000"/>
    <n v="6000000"/>
    <n v="0"/>
    <n v="0"/>
    <n v="0"/>
    <n v="0"/>
    <n v="0"/>
    <n v="0"/>
    <n v="1000000"/>
    <n v="1000000"/>
    <n v="1000000"/>
    <n v="1000000"/>
    <n v="1000000"/>
    <n v="1000000"/>
    <s v="B"/>
  </r>
  <r>
    <x v="2"/>
    <x v="24"/>
    <s v="YKKAP_次期AP-CADシステム刷新_現状調査、実現性検証フェーズ"/>
    <n v="8610049.5"/>
    <n v="0"/>
    <n v="3799950"/>
    <n v="1900050"/>
    <n v="2910049.5"/>
    <n v="0"/>
    <n v="0"/>
    <n v="0"/>
    <n v="0"/>
    <n v="0"/>
    <n v="0"/>
    <n v="0"/>
    <n v="0"/>
    <n v="0"/>
    <s v="A"/>
  </r>
  <r>
    <x v="2"/>
    <x v="25"/>
    <s v="RPA運用支援＆akaBot検証"/>
    <n v="12000000"/>
    <n v="12000000"/>
    <n v="0"/>
    <n v="0"/>
    <n v="0"/>
    <n v="0"/>
    <n v="0"/>
    <n v="0"/>
    <n v="2000000"/>
    <n v="2000000"/>
    <n v="2000000"/>
    <n v="2000000"/>
    <n v="2000000"/>
    <n v="2000000"/>
    <s v="B"/>
  </r>
  <r>
    <x v="2"/>
    <x v="26"/>
    <s v="PLM(Windchill）周辺システム開発"/>
    <n v="10000000"/>
    <n v="10000000"/>
    <n v="0"/>
    <n v="0"/>
    <n v="0"/>
    <n v="0"/>
    <n v="0"/>
    <n v="0"/>
    <n v="0"/>
    <n v="2000000"/>
    <n v="2000000"/>
    <n v="2000000"/>
    <n v="2000000"/>
    <n v="2000000"/>
    <s v="O"/>
  </r>
  <r>
    <x v="2"/>
    <x v="27"/>
    <s v="営業支援ツール"/>
    <n v="600000"/>
    <n v="600000"/>
    <n v="0"/>
    <n v="0"/>
    <n v="0"/>
    <n v="0"/>
    <n v="0"/>
    <n v="0"/>
    <n v="600000"/>
    <n v="0"/>
    <n v="0"/>
    <n v="0"/>
    <n v="0"/>
    <n v="0"/>
    <s v="B"/>
  </r>
  <r>
    <x v="1"/>
    <x v="28"/>
    <s v="青木あすなろの出張調整分・請求後相殺"/>
    <n v="2000000"/>
    <m/>
    <m/>
    <m/>
    <m/>
    <m/>
    <m/>
    <n v="2000000"/>
    <m/>
    <m/>
    <m/>
    <m/>
    <m/>
    <m/>
    <s v="A"/>
  </r>
  <r>
    <x v="3"/>
    <x v="28"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TCNX技術者（フィ）_20250921-20251220"/>
    <s v="DAIKIN/FJP/250918/001"/>
    <s v="OPP-102924-6-FJP-DAIKIN"/>
    <x v="0"/>
    <s v="FJP.FA.PDS"/>
    <s v="BX GCS"/>
    <s v="Usui.Masahiro"/>
    <m/>
    <n v="0"/>
    <n v="2400000"/>
    <n v="60"/>
    <n v="2400000"/>
    <n v="0"/>
    <n v="2400000"/>
    <n v="120000"/>
  </r>
  <r>
    <s v="TCNX技術者（クォン）_20250921-20251220"/>
    <s v="DAIKIN/FJP/250922/001"/>
    <s v="OPP-102924-6-FJP-DAIKIN"/>
    <x v="0"/>
    <s v="FJP.FA.PDS"/>
    <s v="BX GCS"/>
    <s v="Usui.Masahiro"/>
    <m/>
    <n v="0"/>
    <n v="2280000"/>
    <e v="#REF!"/>
    <n v="2280000"/>
    <n v="67191000"/>
    <n v="2280000"/>
    <n v="114000"/>
  </r>
  <r>
    <s v="NX,TC業務支援Q3_Dan-202510-202512"/>
    <s v="DAIKIN/FJP/250925/001"/>
    <s v="OPP-102924-6-FJP-DAIKIN"/>
    <x v="0"/>
    <s v="FJP.FA.PDS"/>
    <s v="BX GCS"/>
    <s v="Usui.Masahiro"/>
    <m/>
    <n v="0"/>
    <n v="2400000"/>
    <n v="60"/>
    <n v="2400000"/>
    <n v="0"/>
    <n v="2400000"/>
    <n v="120000"/>
  </r>
  <r>
    <s v="BIM活用基盤整備構想策定の業務支援（08月～12月）_202508-202512"/>
    <s v="TNK/FJP/250905/001"/>
    <s v="OPP-082825-1-FJP-TNK"/>
    <x v="1"/>
    <s v="FJP.GMG.MCW"/>
    <s v="BX GCS"/>
    <s v="Tetsuya Yamaki"/>
    <m/>
    <n v="0"/>
    <n v="39440000"/>
    <e v="#REF!"/>
    <n v="39440000"/>
    <e v="#REF!"/>
    <n v="3120000"/>
    <n v="156000"/>
  </r>
  <r>
    <s v="BIM活用基盤_STEP1開発_20250829-20261231_FJP.GMG-FHM.JPG-Buffer"/>
    <s v="TNK/FJP/250905/002"/>
    <s v="OPP-082825-1-FJP-TNK"/>
    <x v="1"/>
    <s v="FJP.GMG.MCW"/>
    <s v="BX GCS"/>
    <s v="Tetsuya Yamaki"/>
    <m/>
    <n v="0"/>
    <n v="180299000"/>
    <n v="5258920"/>
    <n v="180299000"/>
    <n v="89149920"/>
    <n v="180299000"/>
    <n v="9014950"/>
  </r>
  <r>
    <s v="BIM活用基盤_STEP1開発_20250815-20261231_Comtor G0"/>
    <s v="TNK/FJP/250926/002"/>
    <s v="OPP-082825-1-FJP-TNK"/>
    <x v="1"/>
    <s v="FJP.GMG.MCW"/>
    <s v="BX GCS"/>
    <s v="Tetsuya Yamaki"/>
    <m/>
    <n v="0"/>
    <n v="574000"/>
    <e v="#REF!"/>
    <n v="574000"/>
    <n v="269448920"/>
    <n v="574000"/>
    <n v="28700"/>
  </r>
  <r>
    <s v="BIM活用基盤_STEP1開発_20250815-20261231_F1.CSM"/>
    <s v="TNK/FJP/250929/001"/>
    <s v="OPP-082825-1-FJP-TNK"/>
    <x v="1"/>
    <s v="FJP.GMG.MCW"/>
    <s v="BX GCS"/>
    <s v="Tetsuya Yamaki"/>
    <m/>
    <n v="0"/>
    <n v="6392000"/>
    <n v="60"/>
    <n v="6392000"/>
    <n v="0"/>
    <n v="6392000"/>
    <n v="319600"/>
  </r>
  <r>
    <s v="DLM基盤_STEP1開発_202509-202612"/>
    <s v="TNK/FJP/250930/001"/>
    <s v="OPP-060425-1-FJP-TNK"/>
    <x v="1"/>
    <s v="FJP.GMG.MCW"/>
    <s v="BX GCS"/>
    <s v="Tetsuya Yamaki"/>
    <m/>
    <n v="0"/>
    <n v="476154000"/>
    <e v="#REF!"/>
    <n v="476154000"/>
    <n v="209223920"/>
    <n v="412479000"/>
    <n v="20623950"/>
  </r>
  <r>
    <s v="DLM基盤_STEP1開発_202509-202512_Comtor G0"/>
    <s v="TNK/FJP/251001/001"/>
    <s v="OPP-060425-1-FJP-TNK"/>
    <x v="1"/>
    <s v="FJP.GMG.MCW"/>
    <s v="BX GCS"/>
    <s v="Tetsuya Yamaki"/>
    <m/>
    <n v="0"/>
    <n v="840000"/>
    <e v="#REF!"/>
    <n v="840000"/>
    <e v="#REF!"/>
    <n v="840000"/>
    <n v="42000"/>
  </r>
  <r>
    <s v="BIM活用基盤_STEP1開発_20250815-20261231_FCJ"/>
    <s v="TNK/FJP/250929/002"/>
    <s v="OPP-082825-1-FJP-TNK"/>
    <x v="1"/>
    <s v="FJP.GMG.MCW"/>
    <s v="BX GCS"/>
    <s v="Tetsuya Yamaki"/>
    <m/>
    <n v="0"/>
    <n v="24000000"/>
    <n v="60"/>
    <n v="24000000"/>
    <n v="0"/>
    <n v="0"/>
    <n v="0"/>
  </r>
  <r>
    <s v="要件定義業務支援 (中村)_FCJ_Nakamura. Takuo (takuon)_20251021-20260331"/>
    <s v="NM/FJP/250930/001"/>
    <s v="OPP-010924-1-FJP-NM"/>
    <x v="2"/>
    <s v="FCJ.BX.GCS"/>
    <s v="BX GCS"/>
    <s v="takuon"/>
    <m/>
    <n v="0"/>
    <n v="3984375"/>
    <n v="60"/>
    <n v="3984375"/>
    <n v="0"/>
    <n v="0"/>
    <n v="0"/>
  </r>
  <r>
    <s v="JSOL -SAP- JD NET Jun-August _20250520-2050831"/>
    <s v="JSOL/FJP/250527/001"/>
    <s v="OPP-041625-1-FJP-JSOL"/>
    <x v="3"/>
    <s v="FCJ.BX.GCS"/>
    <s v="BX GCS"/>
    <m/>
    <m/>
    <n v="0"/>
    <n v="11730000"/>
    <e v="#REF!"/>
    <n v="11730000"/>
    <e v="#REF!"/>
    <n v="11730000"/>
    <n v="586500"/>
  </r>
  <r>
    <s v="RPA 運用・検証支援_2025/7/15-2025/9/30"/>
    <s v="OrixB/FJP/250911/001"/>
    <s v="OPP-102924-1-FJP-OrixB"/>
    <x v="4"/>
    <s v="FCJ.BX.GCS"/>
    <s v="BX GCS"/>
    <m/>
    <m/>
    <n v="0"/>
    <n v="5000000"/>
    <e v="#REF!"/>
    <n v="5000000"/>
    <n v="11730000"/>
    <n v="0"/>
    <n v="0"/>
  </r>
  <r>
    <s v="ﾊﾟﾚｯﾄｺﾝﾍﾞﾔｾｲｻﾝｾｲｶｲﾊﾂ モデル作成_20240827発注分_20250827-20250905"/>
    <s v="DFK/FJP/250918/001"/>
    <s v="OPP-120324-2-FJP-DFK"/>
    <x v="5"/>
    <s v="FCJ.BX.GCS"/>
    <s v="BX GCS"/>
    <m/>
    <m/>
    <n v="0"/>
    <n v="51394"/>
    <n v="3000000"/>
    <n v="51394"/>
    <n v="24322500"/>
    <n v="51394"/>
    <n v="2569.7000000000003"/>
  </r>
  <r>
    <s v="【特急対応】3Dモデリング54_2025/8/28～2025/9/1"/>
    <s v="DFK/FJP/250925/001"/>
    <s v="OPP-120324-1-FJP-DFK"/>
    <x v="5"/>
    <s v="FCJ.BX.GCS"/>
    <s v="BX GCS"/>
    <m/>
    <m/>
    <n v="0"/>
    <n v="176690"/>
    <e v="#REF!"/>
    <n v="176690"/>
    <n v="18431394"/>
    <n v="176690"/>
    <n v="8834.5"/>
  </r>
  <r>
    <s v="AI活用拡大(Q3)＿FPTクラウド費用(2025年8月分)"/>
    <s v="DFK/FJP/250929/001"/>
    <s v="OPP-030725-1-FJP-DFK"/>
    <x v="5"/>
    <s v="FCJ.BX.GCS"/>
    <s v="BX GCS"/>
    <m/>
    <m/>
    <n v="0"/>
    <n v="32154"/>
    <e v="#REF!"/>
    <n v="32154"/>
    <n v="283033984"/>
    <n v="32154"/>
    <n v="1607.7"/>
  </r>
  <r>
    <s v="ﾊﾟﾚｯﾄｺﾝﾍﾞﾔｾｲｻﾝｾｲｶｲﾊﾂ モデル作成_K3136137_20250904-20250926"/>
    <s v="DFK/FJP/250912/001"/>
    <s v="OPP-120324-2-FJP-DFK"/>
    <x v="5"/>
    <s v="FCJ.BX.GCS"/>
    <s v="BX GCS"/>
    <m/>
    <m/>
    <n v="0"/>
    <n v="505188"/>
    <e v="#REF!"/>
    <n v="505188"/>
    <n v="17640238"/>
    <n v="505188"/>
    <n v="25259.4"/>
  </r>
  <r>
    <s v="ﾊﾟﾚｯﾄｺﾝﾍﾞﾔｾｲｻﾝｾｲｶｲﾊﾂ モデル作成_K3136138_20240904-20250926"/>
    <s v="DFK/FJP/250925/004"/>
    <s v="OPP-120324-2-FJP-DFK"/>
    <x v="5"/>
    <s v="FCJ.BX.GCS"/>
    <s v="BX GCS"/>
    <m/>
    <m/>
    <n v="0"/>
    <n v="674688"/>
    <e v="#REF!"/>
    <n v="674688"/>
    <e v="#REF!"/>
    <n v="674688"/>
    <n v="33734.400000000001"/>
  </r>
  <r>
    <s v="【特急対応】3Dモデリング55_2025/9/8～2025/9/9"/>
    <s v="DFK/FJP/250925/003"/>
    <s v="OPP-120324-1-FJP-DFK"/>
    <x v="5"/>
    <s v="FCJ.BX.GCS"/>
    <s v="BX GCS"/>
    <m/>
    <m/>
    <n v="0"/>
    <n v="233451"/>
    <n v="10500000"/>
    <n v="233451"/>
    <n v="31297614"/>
    <n v="233451"/>
    <n v="11672.550000000001"/>
  </r>
  <r>
    <s v="BTPの開発支援_202509-10"/>
    <s v="JSOL/FJP/250912/001"/>
    <s v="OPP-041625-1-FJP-JSOL"/>
    <x v="3"/>
    <s v="FCJ.BX.GCS"/>
    <s v="BX GCS"/>
    <m/>
    <m/>
    <n v="0"/>
    <n v="3668000"/>
    <n v="233451"/>
    <n v="3668000"/>
    <n v="109087805"/>
    <n v="3668000"/>
    <n v="183400"/>
  </r>
  <r>
    <s v="BTPの開発支援_202509-10_Comtor G0"/>
    <s v="JSOL/FJP/250912/002"/>
    <s v="OPP-041625-1-FJP-JSOL"/>
    <x v="3"/>
    <s v="FCJ.BX.GCS"/>
    <s v="BX GCS"/>
    <m/>
    <m/>
    <n v="0"/>
    <n v="32000"/>
    <e v="#REF!"/>
    <n v="32000"/>
    <n v="5113481"/>
    <n v="32000"/>
    <n v="1600"/>
  </r>
  <r>
    <s v="【特急対応】3Dモデリング56_2025/9/11～2025/9/18"/>
    <s v="DFK/FJP/250925/005"/>
    <s v="OPP-120324-1-FJP-DFK"/>
    <x v="5"/>
    <s v="FCJ.BX.GCS"/>
    <s v="BX GCS"/>
    <m/>
    <m/>
    <n v="0"/>
    <n v="241856"/>
    <e v="#REF!"/>
    <n v="241856"/>
    <n v="320473325"/>
    <n v="241856"/>
    <n v="12092.800000000001"/>
  </r>
  <r>
    <s v="設計アウトプットの改革 IDW作成_20250918発注分_20250918-20251020"/>
    <s v="DFK/FJP/250924/001"/>
    <s v="OPP-120324-2-FJP-DFK"/>
    <x v="5"/>
    <s v="FCJ.BX.GCS"/>
    <s v="BX GCS"/>
    <m/>
    <m/>
    <n v="0"/>
    <n v="994984"/>
    <n v="60"/>
    <n v="994984"/>
    <n v="0"/>
    <n v="994984"/>
    <n v="49749.200000000004"/>
  </r>
  <r>
    <s v="【特急対応】3Dモデリング57_2025/9/19～2025/10/1"/>
    <s v="DFK/FJP/250925/002"/>
    <s v="OPP-120324-1-FJP-DFK"/>
    <x v="5"/>
    <s v="FCJ.BX.GCS"/>
    <s v="BX GCS"/>
    <m/>
    <m/>
    <n v="0"/>
    <n v="401021"/>
    <e v="#REF!"/>
    <n v="401021"/>
    <n v="994984"/>
    <n v="401021"/>
    <n v="20051.050000000003"/>
  </r>
  <r>
    <s v="AAK_業務改善・デジタル化の案件【B】、【C】フェーズ_2025年10月11月12月"/>
    <s v="AAK/FJP/251001/001"/>
    <s v="OPP-031125-3-FJP-AAK"/>
    <x v="6"/>
    <s v="FCJ.BX.GCS"/>
    <s v="BX GCS"/>
    <m/>
    <m/>
    <n v="0"/>
    <n v="6000000"/>
    <e v="#REF!"/>
    <n v="6000000"/>
    <n v="1396005"/>
    <n v="0"/>
    <n v="0"/>
  </r>
  <r>
    <s v="汎用コンポーネント(マンション試行用)開発支援_交通費_202508"/>
    <s v="JSOL/FJP/250925/001"/>
    <s v="OPP-031225-1-FJP-JSOL"/>
    <x v="3"/>
    <s v="FCJ.BX.GCS"/>
    <s v="BX GCS"/>
    <m/>
    <m/>
    <n v="0"/>
    <n v="28380"/>
    <e v="#REF!"/>
    <n v="28380"/>
    <n v="401021"/>
    <n v="0"/>
    <n v="0"/>
  </r>
  <r>
    <s v="建設DXコンサルのビジネス検討・推進支援_202510-202603"/>
    <s v="JSOL/FJP/251001/001"/>
    <s v="OPP-090825-1-FJP-JSOL"/>
    <x v="3"/>
    <s v="FCJ.BX.GCS"/>
    <s v="BX GCS"/>
    <m/>
    <m/>
    <n v="0"/>
    <n v="4800000"/>
    <n v="48000000"/>
    <n v="4800000"/>
    <n v="0"/>
    <n v="0"/>
    <n v="0"/>
  </r>
  <r>
    <s v="N社向けIT企画構想支援_202510-202603"/>
    <s v="JSOL/FJP/251002/002"/>
    <s v="OPP-090925-1-FJP-JSOL"/>
    <x v="3"/>
    <s v="FCJ.BX.GCS"/>
    <s v="BX GCS"/>
    <m/>
    <m/>
    <n v="0"/>
    <n v="3360000"/>
    <e v="#REF!"/>
    <n v="3360000"/>
    <n v="0"/>
    <n v="0"/>
    <n v="0"/>
  </r>
  <r>
    <s v="N社向けPJ推進のご支援_202510-202603"/>
    <s v="JSOL/FJP/251002/001"/>
    <s v="OPP-090925-1-FJP-JSOL"/>
    <x v="3"/>
    <s v="FCJ.BX.GCS"/>
    <s v="BX GCS"/>
    <m/>
    <m/>
    <n v="0"/>
    <n v="8400000"/>
    <e v="#REF!"/>
    <n v="8400000"/>
    <n v="1396005"/>
    <n v="0"/>
    <n v="0"/>
  </r>
  <r>
    <s v="汎用コンポーネント(マンション試行用)開発支援_交通費_202509"/>
    <s v="JSOL/FJP/251002/003"/>
    <s v="OPP-031225-1-FJP-JSOL"/>
    <x v="3"/>
    <s v="FCJ.BX.GCS"/>
    <s v="BX GCS"/>
    <m/>
    <m/>
    <n v="0"/>
    <n v="51181"/>
    <e v="#REF!"/>
    <n v="51181"/>
    <n v="0"/>
    <n v="0"/>
    <n v="0"/>
  </r>
  <r>
    <s v="大正区鶴町冷凍冷蔵物流計画設備電気インフラモデル製作業務_20250113-20250120"/>
    <s v="DAISUE/FJP/250116/001"/>
    <s v="OPP-010924-1-FJP-DAISUE"/>
    <x v="7"/>
    <s v="FJP.GMG.MCW"/>
    <s v="BX GCS"/>
    <s v="kato.fumie"/>
    <m/>
    <n v="0"/>
    <n v="248250"/>
    <n v="24440000"/>
    <n v="248250"/>
    <n v="251186293"/>
    <n v="248250"/>
    <n v="12412.5"/>
  </r>
  <r>
    <s v="YKKAP_次期AP CADシステム刷新プロジェクト_2024/12/16-2025/3/31"/>
    <s v="YKKAP/FJP/250109/001"/>
    <s v="OPP-092724-1-FJP-YKKAP"/>
    <x v="8"/>
    <s v="FCJ.BX.GCS"/>
    <s v="BX GCS"/>
    <m/>
    <m/>
    <n v="0"/>
    <n v="9600000"/>
    <e v="#REF!"/>
    <n v="9600000"/>
    <n v="8515480"/>
    <n v="990000"/>
    <n v="49500"/>
  </r>
  <r>
    <s v="【特急対応】3Dモデリング28_20250120依頼分_20250110-20250116"/>
    <s v="DFK/FJP/250203/001"/>
    <s v="OPP-120324-1-FJP-DFK"/>
    <x v="5"/>
    <s v="FCJ.BX.GCS"/>
    <s v="BX GCS"/>
    <m/>
    <m/>
    <n v="0"/>
    <n v="11398"/>
    <n v="9000000"/>
    <n v="11398"/>
    <n v="19948014"/>
    <n v="9705"/>
    <n v="485.25"/>
  </r>
  <r>
    <s v="【特急対応】3Dモデリング29_20250123依頼分_20250121-20250203"/>
    <s v="DFK/FJP/250203/002"/>
    <s v="OPP-120324-1-FJP-DFK"/>
    <x v="5"/>
    <s v="FCJ.BX.GCS"/>
    <s v="BX GCS"/>
    <m/>
    <m/>
    <n v="0"/>
    <n v="33984"/>
    <n v="60"/>
    <n v="33984"/>
    <n v="0"/>
    <n v="33984"/>
    <n v="1699.2"/>
  </r>
  <r>
    <s v="【特急対応】3Dモデリング27_20250110依頼分_20250110-20250116"/>
    <s v="DFK/FJP/250117/001"/>
    <s v="OPP-120324-1-FJP-DFK"/>
    <x v="5"/>
    <s v="FCJ.BX.GCS"/>
    <s v="BX GCS"/>
    <m/>
    <m/>
    <n v="0"/>
    <n v="101280"/>
    <n v="60"/>
    <n v="101280"/>
    <n v="0"/>
    <n v="86230"/>
    <n v="4311.5"/>
  </r>
  <r>
    <s v="3Dモデリング直線コンベア1月分 _20250110-20250124"/>
    <s v="DFK/FJP/250117/002"/>
    <s v="OPP-120324-2-FJP-DFK"/>
    <x v="5"/>
    <s v="FCJ.BX.GCS"/>
    <s v="BX GCS"/>
    <m/>
    <m/>
    <n v="0"/>
    <n v="413286"/>
    <n v="60"/>
    <n v="413286"/>
    <n v="0"/>
    <n v="382427"/>
    <n v="19121.350000000002"/>
  </r>
  <r>
    <s v="AIものづくり支援環境構築1月後半分"/>
    <s v="DFK/FJP/250212/001"/>
    <s v="OPP-013124-1-FJP-DFK"/>
    <x v="5"/>
    <s v="FCJ.BX.GCS"/>
    <s v="BX GCS"/>
    <s v="Usui.Masahiro"/>
    <m/>
    <n v="0"/>
    <n v="562500"/>
    <n v="1150000"/>
    <n v="562500"/>
    <n v="21091833"/>
    <n v="100000"/>
    <n v="5000"/>
  </r>
  <r>
    <s v="AAK_請求・経営管理システム連携構築業務の案件【A】、【B】、【C】フェーズ_11月 12月"/>
    <s v="AAK/FJP/250217/001"/>
    <s v="OPP-102624-1-FJP-AAK"/>
    <x v="6"/>
    <s v="FCJ.BX.GCS"/>
    <s v="BX GCS"/>
    <m/>
    <m/>
    <n v="0"/>
    <n v="16200000"/>
    <e v="#REF!"/>
    <n v="16200000"/>
    <n v="600000"/>
    <n v="2280000"/>
    <n v="114000"/>
  </r>
  <r>
    <s v="3Dモデリング_2025年分作業 (BPO)"/>
    <s v="DFK/FJP/250225/001"/>
    <s v="OPP-120324-2-FJP-DFK"/>
    <x v="5"/>
    <s v="FCJ.BX.GCS"/>
    <s v="BX GCS"/>
    <m/>
    <m/>
    <n v="0"/>
    <n v="1052773"/>
    <n v="60"/>
    <n v="1052773"/>
    <n v="0"/>
    <n v="968820"/>
    <n v="48441"/>
  </r>
  <r>
    <s v="3Dモデリング特急対応_2025年分作業 (BPO)"/>
    <s v="DFK/FJP/250225/003"/>
    <s v="OPP-120324-1-FJP-DFK"/>
    <x v="5"/>
    <s v="FCJ.BX.GCS"/>
    <s v="BX GCS"/>
    <m/>
    <m/>
    <n v="0"/>
    <n v="123572"/>
    <e v="#REF!"/>
    <n v="123572"/>
    <n v="8833820"/>
    <n v="105210"/>
    <n v="5260.5"/>
  </r>
  <r>
    <s v="3Dモデリング特急対応_2025年分作業 (BPO)"/>
    <s v="DFK/FJP/250225/002"/>
    <s v="OPP-120324-1-FJP-DFK"/>
    <x v="5"/>
    <s v="FCJ.BX.GCS"/>
    <s v="BX GCS"/>
    <m/>
    <m/>
    <n v="0"/>
    <n v="185652"/>
    <e v="#REF!"/>
    <n v="185652"/>
    <n v="8339030"/>
    <n v="158065"/>
    <n v="7903.25"/>
  </r>
  <r>
    <s v="AI×CADによる設計自動化に向けたロードマップ作成支援_20250217-20250331"/>
    <s v="DAIKIN/FJP/250304/001"/>
    <s v="OPP-012125-1-FJP-DAIKIN"/>
    <x v="0"/>
    <s v="FJP.GMG.MCW"/>
    <s v="BX GCS"/>
    <s v="Usui.Masahiro"/>
    <m/>
    <n v="0"/>
    <n v="2800000"/>
    <n v="900000"/>
    <n v="2800000"/>
    <n v="174398574"/>
    <n v="200000"/>
    <n v="10000"/>
  </r>
  <r>
    <s v="AWS 費用_202503"/>
    <s v="DAISUE/FJP/250311/001"/>
    <s v="OPP-031324-2-FJP-DAISUE"/>
    <x v="7"/>
    <s v="FJP.GMG.MCW"/>
    <s v="BX GCS"/>
    <s v="kato.fumie"/>
    <m/>
    <n v="0"/>
    <n v="193625"/>
    <e v="#REF!"/>
    <n v="193625"/>
    <e v="#REF!"/>
    <n v="193625"/>
    <n v="9681.25"/>
  </r>
  <r>
    <s v="NXデータ移行業務のためのST9 Solid Edge ライセンスの御見積書 (1年間)_20250321-20260331"/>
    <s v="DAIKIN/FJP/250313/001"/>
    <s v="OPP-031025-1-FJP-DAIKIN"/>
    <x v="0"/>
    <s v="FJP.FA.PDS"/>
    <s v="BX GCS"/>
    <s v="Usui.Masahiro"/>
    <m/>
    <n v="0"/>
    <n v="654720"/>
    <n v="60"/>
    <n v="654720"/>
    <n v="0"/>
    <n v="654720"/>
    <n v="32736"/>
  </r>
  <r>
    <s v="【特急対応】3Dモデリング32_20250226依頼分_20250228-20250303"/>
    <s v="DFK/FJP/250318/002"/>
    <s v="OPP-120324-1-FJP-DFK"/>
    <x v="5"/>
    <s v="FCJ.BX.GCS"/>
    <s v="BX GCS"/>
    <m/>
    <m/>
    <n v="0"/>
    <n v="152746"/>
    <n v="2000000"/>
    <n v="152746"/>
    <n v="221142644"/>
    <n v="139895"/>
    <n v="6994.75"/>
  </r>
  <r>
    <s v="【特急対応】3Dモデリング32_#2_RMG10_20250226依頼分_2025/2/28～2025/3/3"/>
    <s v="DFK/FJP/250318/001"/>
    <s v="OPP-120324-1-FJP-DFK"/>
    <x v="5"/>
    <s v="FCJ.BX.GCS"/>
    <s v="BX GCS"/>
    <m/>
    <m/>
    <n v="0"/>
    <n v="150417"/>
    <n v="152746"/>
    <n v="150417"/>
    <n v="193632539"/>
    <n v="137761"/>
    <n v="6888.05"/>
  </r>
  <r>
    <s v="【特急対応】3Dモデリング33_20250301依頼分_2025/3/3～2025/3/7"/>
    <s v="DFK/FJP/250319/007"/>
    <s v="OPP-120324-1-FJP-DFK"/>
    <x v="5"/>
    <s v="FCJ.BX.GCS"/>
    <s v="BX GCS"/>
    <m/>
    <m/>
    <n v="0"/>
    <n v="164975"/>
    <n v="150417"/>
    <n v="164975"/>
    <n v="193770300"/>
    <n v="151093"/>
    <n v="7554.6500000000005"/>
  </r>
  <r>
    <s v="【特急対応】3Dモデリング33_#2_RMG10_20250301依頼分_2025/3/3～2025/3/7"/>
    <s v="DFK/FJP/250319/008"/>
    <s v="OPP-120324-1-FJP-DFK"/>
    <x v="5"/>
    <s v="FCJ.BX.GCS"/>
    <s v="BX GCS"/>
    <m/>
    <m/>
    <n v="0"/>
    <n v="21615"/>
    <n v="164975"/>
    <n v="21615"/>
    <n v="221571393"/>
    <n v="19806"/>
    <n v="990.30000000000007"/>
  </r>
  <r>
    <s v="【特急対応】3Dモデリング34_20250306依頼分_2025/3/7～2025/3/14"/>
    <s v="DFK/FJP/250311/001"/>
    <s v="OPP-120324-1-FJP-DFK"/>
    <x v="5"/>
    <s v="FCJ.BX.GCS"/>
    <s v="BX GCS"/>
    <m/>
    <m/>
    <n v="0"/>
    <n v="73871"/>
    <e v="#REF!"/>
    <n v="73871"/>
    <e v="#REF!"/>
    <n v="67655"/>
    <n v="3382.75"/>
  </r>
  <r>
    <s v="3Dモデリング_ZOZO ZOZOBASEつくば１ーB Pouc h架台_20250314_2025/3/14～2025/3/21"/>
    <s v="DFK/FJP/250326/001"/>
    <s v="OPP-120324-2-FJP-DFK"/>
    <x v="5"/>
    <s v="FCJ.BX.GCS"/>
    <s v="BX GCS"/>
    <m/>
    <m/>
    <n v="0"/>
    <n v="73099"/>
    <n v="4650000"/>
    <n v="73099"/>
    <n v="121129032"/>
    <n v="67005"/>
    <n v="3350.25"/>
  </r>
  <r>
    <s v="AIものづくり支援環境構築2月3月分＿①運用・保守支援、引継ぎ_2025/2/17～2025/4/1_FCJ.ABC"/>
    <s v="DFK/FJP/250319/001"/>
    <s v="OPP-011725-1-FJP-DFK"/>
    <x v="5"/>
    <s v="FCJ.BX.GCS"/>
    <s v="BX GCS"/>
    <m/>
    <m/>
    <n v="0"/>
    <n v="1125000"/>
    <n v="9960000"/>
    <n v="1125000"/>
    <e v="#REF!"/>
    <n v="1125000"/>
    <n v="56250"/>
  </r>
  <r>
    <s v="【特急対応】3Dモデリング35_20250324依頼分_2025/3/24～2025/4/1"/>
    <s v="DFK/FJP/250328/001"/>
    <s v="OPP-120324-1-FJP-DFK"/>
    <x v="5"/>
    <s v="FCJ.BX.GCS"/>
    <s v="BX GCS"/>
    <m/>
    <m/>
    <n v="0"/>
    <n v="86907"/>
    <e v="#REF!"/>
    <n v="86907"/>
    <n v="15720000"/>
    <n v="79594"/>
    <n v="3979.7000000000003"/>
  </r>
  <r>
    <s v="3Dモデリング直線コンベア3月分_2025/3/24～2025/5/16"/>
    <s v="DFK/FJP/250331/002"/>
    <s v="OPP-120324-2-FJP-DFK"/>
    <x v="5"/>
    <s v="FCJ.BX.GCS"/>
    <s v="BX GCS"/>
    <m/>
    <m/>
    <n v="0"/>
    <n v="1051213"/>
    <n v="86907"/>
    <n v="1051213"/>
    <n v="15799594"/>
    <n v="962822"/>
    <n v="48141.100000000006"/>
  </r>
  <r>
    <s v="3Dモデリング_ZOZO ZOZOBASEつくば１ーB pouch架台 h架台_2025/3/25～2025/4/2"/>
    <s v="DFK/FJP/250331/003"/>
    <s v="OPP-120324-2-FJP-DFK"/>
    <x v="5"/>
    <s v="FCJ.BX.GCS"/>
    <s v="BX GCS"/>
    <m/>
    <m/>
    <n v="0"/>
    <n v="38045"/>
    <e v="#REF!"/>
    <n v="38045"/>
    <n v="17307916"/>
    <n v="34920"/>
    <n v="1746"/>
  </r>
  <r>
    <s v="自動チェックツール開発_第3弾① ツールUI改修_2025/3/18～2025/5/6"/>
    <s v="DFK/FJP/250331/001"/>
    <s v="OPP-030725-2-FJP-DFK"/>
    <x v="5"/>
    <s v="FCJ.BX.GCS"/>
    <s v="BX GCS"/>
    <m/>
    <m/>
    <n v="0"/>
    <n v="791667"/>
    <e v="#REF!"/>
    <n v="791667"/>
    <n v="17342836"/>
    <n v="652423"/>
    <n v="32621.15"/>
  </r>
  <r>
    <s v="自動チェックツール開発_第3弾②-1 チェック内容修正_20250318-20250506"/>
    <s v="DFK/FJP/250331/004"/>
    <s v="OPP-030725-2-FJP-DFK"/>
    <x v="5"/>
    <s v="FCJ.BX.GCS"/>
    <s v="BX GCS"/>
    <m/>
    <m/>
    <n v="0"/>
    <n v="340000"/>
    <n v="791667"/>
    <n v="340000"/>
    <n v="17995259"/>
    <n v="283000"/>
    <n v="14150"/>
  </r>
  <r>
    <s v="自動チェックツール開発_第3弾②-3 チェック内容追加②_2025/3/18～2025/5/6"/>
    <s v="DFK/FJP/250331/005"/>
    <s v="OPP-030725-2-FJP-DFK"/>
    <x v="5"/>
    <s v="FCJ.BX.GCS"/>
    <s v="BX GCS"/>
    <m/>
    <m/>
    <n v="0"/>
    <n v="551250"/>
    <e v="#REF!"/>
    <n v="551250"/>
    <n v="19403259"/>
    <n v="456750"/>
    <n v="22837.5"/>
  </r>
  <r>
    <s v="自動チェックツール開発_第3弾②-1 チェック内容追加①_20250318-20250506"/>
    <s v="DFK/FJP/250331/006"/>
    <s v="OPP-030725-2-FJP-DFK"/>
    <x v="5"/>
    <s v="FCJ.BX.GCS"/>
    <s v="BX GCS"/>
    <m/>
    <m/>
    <n v="0"/>
    <n v="859375"/>
    <n v="551250"/>
    <n v="859375"/>
    <n v="19860009"/>
    <n v="715750"/>
    <n v="35787.5"/>
  </r>
  <r>
    <s v="【特急対応】3Dモデリング36_20250326依頼分_2025/3/28～2025/4/1"/>
    <s v="DFK/FJP/250402/001"/>
    <s v="OPP-120324-1-FJP-DFK"/>
    <x v="5"/>
    <s v="FCJ.BX.GCS"/>
    <s v="BX GCS"/>
    <m/>
    <m/>
    <n v="0"/>
    <n v="81485"/>
    <n v="3224160"/>
    <n v="81485"/>
    <n v="168737809"/>
    <n v="74628"/>
    <n v="3731.4"/>
  </r>
  <r>
    <s v="3Dモデリング_ZOZOBASEつくば１ーB ZOZO追加分_2025/3/28～2025/4/11"/>
    <s v="DFK/FJP/250402/002"/>
    <s v="OPP-120324-2-FJP-DFK"/>
    <x v="5"/>
    <s v="FCJ.BX.GCS"/>
    <s v="BX GCS"/>
    <m/>
    <m/>
    <n v="0"/>
    <n v="82005"/>
    <n v="81485"/>
    <n v="82005"/>
    <n v="168812437"/>
    <n v="75130"/>
    <n v="3756.5"/>
  </r>
  <r>
    <s v="【特急対応】3Dモデリング37_20250331依頼分_20250402-20250408"/>
    <s v="DFK/FJP/250408/001"/>
    <s v="OPP-120324-1-FJP-DFK"/>
    <x v="5"/>
    <s v="FCJ.BX.GCS"/>
    <s v="BX GCS"/>
    <m/>
    <m/>
    <n v="0"/>
    <n v="59126"/>
    <e v="#REF!"/>
    <n v="59126"/>
    <n v="33542476"/>
    <n v="54151"/>
    <n v="2707.55"/>
  </r>
  <r>
    <s v="AI活用拡大(Q2)＿AI活用に関するプロジェクトのリード_2025/4/25～2025/5/29_FAI.ABC"/>
    <s v="DFK/FJP/250502/002"/>
    <s v="OPP-012725-1-FJP-DFK"/>
    <x v="5"/>
    <s v="FCJ.BX.GCS"/>
    <s v="BX GCS"/>
    <m/>
    <m/>
    <n v="0"/>
    <n v="1200000"/>
    <e v="#REF!"/>
    <n v="1200000"/>
    <n v="887738427.42999995"/>
    <n v="1200000"/>
    <n v="60000"/>
  </r>
  <r>
    <s v="AI活用拡大(Q2)＿特殊検討技術のPoC_2025/4/25～2025/5/29_FAI.ABC"/>
    <s v="DFK/FJP/250502/003"/>
    <s v="OPP-012725-1-FJP-DFK"/>
    <x v="5"/>
    <s v="FCJ.BX.GCS"/>
    <s v="BX GCS"/>
    <m/>
    <m/>
    <n v="0"/>
    <n v="980000"/>
    <e v="#REF!"/>
    <n v="980000"/>
    <n v="1200000"/>
    <n v="980000"/>
    <n v="49000"/>
  </r>
  <r>
    <s v="TCNX技術者（クォン）_20250703-20250920"/>
    <s v="DAIKIN/FJP/250422/005"/>
    <s v="OPP-102924-6-FJP-DAIKIN"/>
    <x v="0"/>
    <s v="FJP.FA.PDS"/>
    <s v="BX GCS"/>
    <s v="Usui.Masahiro"/>
    <m/>
    <n v="0"/>
    <n v="2067200"/>
    <n v="10500000"/>
    <n v="2067200"/>
    <n v="189583130.44999999"/>
    <n v="2067200"/>
    <n v="103360"/>
  </r>
  <r>
    <s v="TCNX技術者（フィ）_20250703-20250920"/>
    <s v="DAIKIN/FJP/250418/001"/>
    <s v="OPP-102924-6-FJP-DAIKIN"/>
    <x v="0"/>
    <s v="FJP.FA.PDS"/>
    <s v="BX GCS"/>
    <s v="Usui.Masahiro"/>
    <m/>
    <n v="0"/>
    <n v="2176000"/>
    <e v="#REF!"/>
    <n v="2176000"/>
    <n v="191650330.44999999"/>
    <n v="2176000"/>
    <n v="108800"/>
  </r>
  <r>
    <s v="NX, TC業務支援_20250515-20250613"/>
    <s v="DAIKIN/FJP/250428/001"/>
    <s v="OPP-102924-6-FJP-DAIKIN"/>
    <x v="0"/>
    <s v="FJP.FA.PDS"/>
    <s v="BX GCS"/>
    <s v="Usui.Masahiro"/>
    <m/>
    <n v="0"/>
    <n v="450000"/>
    <e v="#REF!"/>
    <n v="450000"/>
    <n v="24008200"/>
    <n v="450000"/>
    <n v="22500"/>
  </r>
  <r>
    <s v="基幹システムリプレイスに伴う業務要件定義_202506-202509"/>
    <s v="DAISUE/FJP/250428/001"/>
    <s v="OPP-122324-1-FJP-DAISUE"/>
    <x v="7"/>
    <s v="FJP.GMG.MCW"/>
    <s v="BX GCS"/>
    <s v="kato.fumie"/>
    <m/>
    <n v="0"/>
    <n v="58100000"/>
    <e v="#REF!"/>
    <n v="58100000"/>
    <n v="24458200"/>
    <n v="10600000"/>
    <n v="530000"/>
  </r>
  <r>
    <s v="NX, TC業務支援_20250617-20250630"/>
    <s v="DAIKIN/FJP/250430/001"/>
    <s v="OPP-102924-6-FJP-DAIKIN"/>
    <x v="0"/>
    <s v="FJP.FA.PDS"/>
    <s v="BX GCS"/>
    <s v="Usui.Masahiro"/>
    <m/>
    <n v="0"/>
    <n v="400000"/>
    <e v="#REF!"/>
    <n v="400000"/>
    <n v="35058200"/>
    <n v="400000"/>
    <n v="20000"/>
  </r>
  <r>
    <s v="AAK_業務改善・デジタル化の案件【C】フェーズ_2025年4月"/>
    <s v="AAK/FJP/250425/002"/>
    <s v="OPP-040825-1-FJP-AAK"/>
    <x v="6"/>
    <s v="FCJ.BX.GCS"/>
    <s v="BX GCS"/>
    <m/>
    <m/>
    <n v="0"/>
    <n v="600000"/>
    <n v="60"/>
    <n v="600000"/>
    <n v="0"/>
    <n v="480000"/>
    <n v="24000"/>
  </r>
  <r>
    <s v="【特急対応】3Dモデリング38_20250409依頼分_2025/4/9～2025/4/15"/>
    <s v="DFK/FJP/250430/001"/>
    <s v="OPP-120324-1-FJP-DFK"/>
    <x v="5"/>
    <s v="FCJ.BX.GCS"/>
    <s v="BX GCS"/>
    <m/>
    <m/>
    <n v="0"/>
    <n v="52515"/>
    <n v="1500000"/>
    <n v="52515"/>
    <n v="239059582"/>
    <n v="48096"/>
    <n v="2404.8000000000002"/>
  </r>
  <r>
    <s v="【特急対応】3Dモデリング39_20250416依頼分_2025/4/17～2025/5/6"/>
    <s v="DFK/FJP/250424/002"/>
    <s v="OPP-120324-1-FJP-DFK"/>
    <x v="5"/>
    <s v="FCJ.BX.GCS"/>
    <s v="BX GCS"/>
    <m/>
    <m/>
    <n v="0"/>
    <n v="76954"/>
    <n v="60"/>
    <n v="76954"/>
    <n v="0"/>
    <n v="70479"/>
    <n v="3523.9500000000003"/>
  </r>
  <r>
    <s v="セッケイアウトプットノカイカク 3Dモデリング・検図_2025/4/17～2025/6/6"/>
    <s v="DFK/FJP/250424/001"/>
    <s v="OPP-120324-2-FJP-DFK"/>
    <x v="5"/>
    <s v="FCJ.BX.GCS"/>
    <s v="BX GCS"/>
    <m/>
    <m/>
    <n v="0"/>
    <n v="818521"/>
    <e v="#REF!"/>
    <n v="818521"/>
    <e v="#REF!"/>
    <n v="749693"/>
    <n v="37484.65"/>
  </r>
  <r>
    <s v="セッケイアウトプットノカイカク Revup 対応_2025/4/21～2025/5/9"/>
    <s v="DFK/FJP/250501/001"/>
    <s v="OPP-120324-2-FJP-DFK"/>
    <x v="5"/>
    <s v="FCJ.BX.GCS"/>
    <s v="BX GCS"/>
    <m/>
    <m/>
    <n v="0"/>
    <n v="188733"/>
    <e v="#REF!"/>
    <n v="188733"/>
    <n v="27448268"/>
    <n v="172920"/>
    <n v="8646"/>
  </r>
  <r>
    <s v="【特急対応】3Dモデリング40_20250422依頼分_2025/4/22～2025/5/12"/>
    <s v="DFK/FJP/250425/001"/>
    <s v="OPP-120324-1-FJP-DFK"/>
    <x v="5"/>
    <s v="FCJ.BX.GCS"/>
    <s v="BX GCS"/>
    <m/>
    <m/>
    <n v="0"/>
    <n v="89990"/>
    <e v="#REF!"/>
    <n v="89990"/>
    <n v="9621188"/>
    <n v="82419"/>
    <n v="4120.95"/>
  </r>
  <r>
    <s v="AI活用拡大(Q2)＿運用引継ぎ、及び関連支援_20250428-20250531_FAI.ABC"/>
    <s v="DFK/FJP/250515/003"/>
    <s v="OPP-012725-1-FJP-DFK"/>
    <x v="5"/>
    <s v="FCJ.BX.GCS"/>
    <s v="BX GCS"/>
    <m/>
    <m/>
    <n v="0"/>
    <n v="2386250"/>
    <n v="1373750"/>
    <n v="2386250"/>
    <e v="#REF!"/>
    <n v="2386250"/>
    <n v="119312.5"/>
  </r>
  <r>
    <s v="RMG10モデリング_20250506-20250509"/>
    <s v="DFK/FJP/250515/001"/>
    <s v="OPP-120324-2-FJP-DFK"/>
    <x v="5"/>
    <s v="FCJ.BX.GCS"/>
    <s v="BX GCS"/>
    <m/>
    <m/>
    <n v="0"/>
    <n v="29897"/>
    <e v="#REF!"/>
    <n v="29897"/>
    <n v="12176703"/>
    <n v="29897"/>
    <n v="1494.8500000000001"/>
  </r>
  <r>
    <s v="【特急対応】3Dモデリング41_20250512依頼分_20250513-20250521"/>
    <s v="DFK/FJP/250522/002"/>
    <s v="OPP-120324-1-FJP-DFK"/>
    <x v="5"/>
    <s v="FCJ.BX.GCS"/>
    <s v="BX GCS"/>
    <m/>
    <m/>
    <n v="0"/>
    <n v="125941"/>
    <e v="#REF!"/>
    <n v="125941"/>
    <n v="33148347"/>
    <n v="125941"/>
    <n v="6297.05"/>
  </r>
  <r>
    <s v="設計アウトプットの改革 IDW作成_20250514-20250606"/>
    <s v="DFK/FJP/250522/001"/>
    <s v="OPP-120324-2-FJP-DFK"/>
    <x v="5"/>
    <s v="FCJ.BX.GCS"/>
    <s v="BX GCS"/>
    <m/>
    <m/>
    <n v="0"/>
    <n v="64622"/>
    <n v="60"/>
    <n v="64622"/>
    <n v="0"/>
    <n v="64622"/>
    <n v="3231.1000000000004"/>
  </r>
  <r>
    <s v="【特急対応】3Dモデリング42_20250520依頼分_20250520-20250602"/>
    <s v="DFK/FJP/250528/001"/>
    <s v="OPP-120324-1-FJP-DFK"/>
    <x v="5"/>
    <s v="FCJ.BX.GCS"/>
    <s v="BX GCS"/>
    <m/>
    <m/>
    <n v="0"/>
    <n v="136437"/>
    <e v="#REF!"/>
    <n v="136437"/>
    <n v="41731443"/>
    <n v="136437"/>
    <n v="6821.85"/>
  </r>
  <r>
    <s v="設計アウトプットの改革 モデリング・検図_20250522-20250630"/>
    <s v="DFK/FJP/250528/002"/>
    <s v="OPP-120324-2-FJP-DFK"/>
    <x v="5"/>
    <s v="FCJ.BX.GCS"/>
    <s v="BX GCS"/>
    <m/>
    <m/>
    <n v="0"/>
    <n v="926673"/>
    <n v="136437"/>
    <n v="926673"/>
    <n v="41867880"/>
    <n v="926673"/>
    <n v="46333.65"/>
  </r>
  <r>
    <s v="FDNイベント_ベトナム出張_20250801-20250829"/>
    <s v="DAISUE/FJP/250617/001"/>
    <s v="OPP-122324-1-FJP-DAISUE"/>
    <x v="7"/>
    <s v="FJP.GMG.MCW"/>
    <s v="BX GCS"/>
    <s v="kato.fumie"/>
    <m/>
    <n v="0"/>
    <n v="678700"/>
    <n v="1550000"/>
    <n v="678700"/>
    <e v="#REF!"/>
    <n v="678700"/>
    <n v="33935"/>
  </r>
  <r>
    <s v="NX,TC業務支援Q2_20250704-20250930"/>
    <s v="DAIKIN/FJP/250705/002"/>
    <s v="OPP-102924-6-FJP-DAIKIN"/>
    <x v="0"/>
    <s v="FJP.FA.PDS"/>
    <s v="BX GCS"/>
    <s v="Usui.Masahiro"/>
    <m/>
    <n v="0"/>
    <n v="2400000"/>
    <n v="2000000"/>
    <n v="2400000"/>
    <n v="262502686"/>
    <n v="2400000"/>
    <n v="120000"/>
  </r>
  <r>
    <s v="【特急対応】3Dモデリング43_20250529依頼分_20250529-20250605"/>
    <s v="DFK/FJP/250617/001"/>
    <s v="OPP-120324-1-FJP-DFK"/>
    <x v="5"/>
    <s v="FCJ.BX.GCS"/>
    <s v="BX GCS"/>
    <m/>
    <m/>
    <n v="0"/>
    <n v="95581"/>
    <n v="60"/>
    <n v="95581"/>
    <n v="0"/>
    <n v="95581"/>
    <n v="4779.05"/>
  </r>
  <r>
    <s v="AI活用拡大(Q2)＿設計支援AI開発 AI物作り支援6月_20250528-20250701_FAI.ABC"/>
    <s v="DFK/FJP/250614/001"/>
    <s v="OPP-012725-1-FJP-DFK"/>
    <x v="5"/>
    <s v="FCJ.BX.GCS"/>
    <s v="BX GCS"/>
    <m/>
    <m/>
    <n v="0"/>
    <n v="4510000"/>
    <e v="#REF!"/>
    <n v="4510000"/>
    <n v="203396831"/>
    <n v="4510000"/>
    <n v="225500"/>
  </r>
  <r>
    <s v="【特急対応】3Dモデリング44_20250605依頼分_2025/6/6～2025/6/11"/>
    <s v="DFK/FJP/250613/001"/>
    <s v="OPP-120324-1-FJP-DFK"/>
    <x v="5"/>
    <s v="FCJ.BX.GCS"/>
    <s v="BX GCS"/>
    <m/>
    <m/>
    <n v="0"/>
    <n v="82164"/>
    <e v="#REF!"/>
    <n v="82164"/>
    <n v="20206460"/>
    <n v="82164"/>
    <n v="4108.2"/>
  </r>
  <r>
    <s v="設計アウトプットの改革 IDW作成_20240606発注分_2025/6/6～2025/7/2"/>
    <s v="DFK/FJP/250703/001"/>
    <s v="OPP-120324-2-FJP-DFK"/>
    <x v="5"/>
    <s v="FCJ.BX.GCS"/>
    <s v="BX GCS"/>
    <m/>
    <m/>
    <n v="0"/>
    <n v="266897"/>
    <e v="#REF!"/>
    <n v="266897"/>
    <n v="1207164"/>
    <n v="266897"/>
    <n v="13344.85"/>
  </r>
  <r>
    <s v="【特急対応】3Dモデリング45_20250616依頼分_20250616-20250618"/>
    <s v="DFK/FJP/250703/004"/>
    <s v="OPP-120324-1-FJP-DFK"/>
    <x v="5"/>
    <s v="FCJ.BX.GCS"/>
    <s v="BX GCS"/>
    <m/>
    <m/>
    <n v="0"/>
    <n v="96524"/>
    <n v="60"/>
    <n v="96524"/>
    <n v="0"/>
    <n v="96524"/>
    <n v="4826.2"/>
  </r>
  <r>
    <s v="【特急対応】3Dモデリング46_20250623依頼分_2025/6/23～2025/7/1"/>
    <s v="DFK/FJP/250703/003"/>
    <s v="OPP-120324-1-FJP-DFK"/>
    <x v="5"/>
    <s v="FCJ.BX.GCS"/>
    <s v="BX GCS"/>
    <m/>
    <m/>
    <n v="0"/>
    <n v="161539"/>
    <e v="#REF!"/>
    <n v="161539"/>
    <e v="#REF!"/>
    <n v="161539"/>
    <n v="8076.9500000000007"/>
  </r>
  <r>
    <s v="AI活用拡大(Q3)＿度AIものづくり支援7-9月活動_2025/6/27～2025/10/1_FAI.ABC"/>
    <s v="DFK/FJP/250705/001"/>
    <s v="OPP-030725-1-FJP-DFK"/>
    <x v="5"/>
    <s v="FCJ.BX.GCS"/>
    <s v="BX GCS"/>
    <m/>
    <m/>
    <n v="0"/>
    <n v="10845000"/>
    <e v="#REF!"/>
    <n v="10845000"/>
    <n v="9103463"/>
    <n v="10845000"/>
    <n v="542250"/>
  </r>
  <r>
    <s v="FDNイベント_ベトナム出張_ホテル費用_20250801-20250829"/>
    <s v="DAISUE/FJP/250708/001"/>
    <s v="OPP-122324-1-FJP-DAISUE"/>
    <x v="7"/>
    <s v="FJP.GMG.MCW"/>
    <s v="BX GCS"/>
    <s v="kato.fumie"/>
    <m/>
    <n v="0"/>
    <n v="200000"/>
    <n v="2750000"/>
    <n v="200000"/>
    <n v="201509821"/>
    <n v="200000"/>
    <n v="10000"/>
  </r>
  <r>
    <s v="設計アウトプットの改革 3Dモデリング_20240626発注分_20250626-20250711"/>
    <s v="DFK/FJP/250717/001"/>
    <s v="OPP-120324-2-FJP-DFK"/>
    <x v="5"/>
    <s v="FCJ.BX.GCS"/>
    <s v="BX GCS"/>
    <m/>
    <m/>
    <n v="0"/>
    <n v="137391"/>
    <n v="60"/>
    <n v="137391"/>
    <n v="0"/>
    <n v="137391"/>
    <n v="6869.55"/>
  </r>
  <r>
    <s v="【特急対応】3Dモデリング47_20250703依頼分_2025/7/3～2025/7/9"/>
    <s v="DFK/FJP/250717/002"/>
    <s v="OPP-120324-1-FJP-DFK"/>
    <x v="5"/>
    <s v="FCJ.BX.GCS"/>
    <s v="BX GCS"/>
    <m/>
    <m/>
    <n v="0"/>
    <n v="127354"/>
    <e v="#REF!"/>
    <n v="127354"/>
    <e v="#REF!"/>
    <n v="127354"/>
    <n v="6367.7000000000007"/>
  </r>
  <r>
    <s v="【特急対応】3Dモデリング48_20250710依頼分_2025/7/10～2025/7/17"/>
    <s v="DFK/FJP/250729/002"/>
    <s v="OPP-120324-1-FJP-DFK"/>
    <x v="5"/>
    <s v="FCJ.BX.GCS"/>
    <s v="BX GCS"/>
    <m/>
    <m/>
    <n v="0"/>
    <n v="135533"/>
    <e v="#REF!"/>
    <n v="135533"/>
    <n v="9950000"/>
    <n v="135533"/>
    <n v="6776.6500000000005"/>
  </r>
  <r>
    <s v="ﾊﾟﾚｯﾄｺﾝﾍﾞﾔｾｲｻﾝｾｲｶｲﾊﾂ モデル作成_20240717発注分_2025/7/17～2025/7/25"/>
    <s v="DFK/FJP/250730/001"/>
    <s v="OPP-120324-2-FJP-DFK"/>
    <x v="5"/>
    <s v="FCJ.BX.GCS"/>
    <s v="BX GCS"/>
    <m/>
    <m/>
    <n v="0"/>
    <n v="113475"/>
    <n v="1214000"/>
    <n v="113475"/>
    <e v="#REF!"/>
    <n v="113475"/>
    <n v="5673.75"/>
  </r>
  <r>
    <s v="【特急対応】3Dモデリング49_20250718依頼分_2025/7/18～2025/7/24"/>
    <s v="DFK/FJP/250729/001"/>
    <s v="OPP-120324-1-FJP-DFK"/>
    <x v="5"/>
    <s v="FCJ.BX.GCS"/>
    <s v="BX GCS"/>
    <m/>
    <m/>
    <n v="0"/>
    <n v="213476"/>
    <n v="60"/>
    <n v="213476"/>
    <n v="0"/>
    <n v="213476"/>
    <n v="10673.800000000001"/>
  </r>
  <r>
    <s v="設計アウトプットの改革 IDW作成_20240703発注分_2025/7/3～2025/8/8"/>
    <s v="DFK/FJP/250822/003"/>
    <s v="OPP-120324-2-FJP-DFK"/>
    <x v="5"/>
    <s v="FCJ.BX.GCS"/>
    <s v="BX GCS"/>
    <m/>
    <m/>
    <n v="0"/>
    <n v="716866"/>
    <e v="#REF!"/>
    <n v="716866"/>
    <e v="#REF!"/>
    <n v="716866"/>
    <n v="35843.300000000003"/>
  </r>
  <r>
    <s v="【特急対応】3Dモデリング50_20250730依頼分_2025/7/30～2025/8/1"/>
    <s v="DFK/FJP/250822/001"/>
    <s v="OPP-120324-1-FJP-DFK"/>
    <x v="5"/>
    <s v="FCJ.BX.GCS"/>
    <s v="BX GCS"/>
    <m/>
    <m/>
    <n v="0"/>
    <n v="216943"/>
    <n v="4200000"/>
    <n v="216943"/>
    <n v="100770296"/>
    <n v="216943"/>
    <n v="10847.150000000001"/>
  </r>
  <r>
    <s v="ﾊﾟﾚｯﾄｺﾝﾍﾞﾔｾｲｻﾝｾｲｶｲﾊﾂ モデル作成_20240725発注分_2025/7/25～2025/7/28"/>
    <s v="DFK/FJP/250808/001"/>
    <s v="OPP-120324-2-FJP-DFK"/>
    <x v="5"/>
    <s v="FCJ.BX.GCS"/>
    <s v="BX GCS"/>
    <m/>
    <m/>
    <n v="0"/>
    <n v="129375"/>
    <e v="#REF!"/>
    <n v="129375"/>
    <e v="#REF!"/>
    <n v="129375"/>
    <n v="6468.75"/>
  </r>
  <r>
    <s v="【特急対応】3Dモデリング51_20250808依頼分_2025/8/8～2025/8/12"/>
    <s v="DFK/FJP/250822/002"/>
    <s v="OPP-120324-1-FJP-DFK"/>
    <x v="5"/>
    <s v="FCJ.BX.GCS"/>
    <s v="BX GCS"/>
    <m/>
    <m/>
    <n v="0"/>
    <n v="160597"/>
    <e v="#REF!"/>
    <n v="160597"/>
    <n v="346318"/>
    <n v="160597"/>
    <n v="8029.85"/>
  </r>
  <r>
    <s v="ｽﾘｰﾃﾞｨｾｯｹｲﾌﾟﾗｯﾄﾌｫｰﾑｶ RM機械設計_20240707発注分_2025/7/7～2025/7/14"/>
    <s v="DFK/FJP/250818/001"/>
    <s v="OPP-120324-2-FJP-DFK"/>
    <x v="5"/>
    <s v="FCJ.BX.GCS"/>
    <s v="BX GCS"/>
    <m/>
    <m/>
    <n v="0"/>
    <n v="134719"/>
    <e v="#REF!"/>
    <n v="134719"/>
    <n v="506915"/>
    <n v="134719"/>
    <n v="6735.9500000000007"/>
  </r>
  <r>
    <s v="自動チェックツール開発_第4弾②_2025/8/8～2025/10/1"/>
    <s v="DFK/FJP/250829/002"/>
    <s v="OPP-061225-1-FJP-DFK"/>
    <x v="5"/>
    <s v="FCJ.BX.GCS"/>
    <s v="BX GCS"/>
    <m/>
    <m/>
    <n v="0"/>
    <n v="531250"/>
    <e v="#REF!"/>
    <n v="531250"/>
    <e v="#REF!"/>
    <n v="437500"/>
    <n v="21875"/>
  </r>
  <r>
    <s v="自動チェックツール開発_第4弾①_2025/8/8～2025/10/1"/>
    <s v="DFK/FJP/250829/001"/>
    <s v="OPP-061225-1-FJP-DFK"/>
    <x v="5"/>
    <s v="FCJ.BX.GCS"/>
    <s v="BX GCS"/>
    <m/>
    <m/>
    <n v="0"/>
    <n v="531875"/>
    <e v="#REF!"/>
    <n v="531875"/>
    <e v="#REF!"/>
    <n v="439250"/>
    <n v="21962.5"/>
  </r>
  <r>
    <s v="自動チェックツール開発_第4弾③ _2025/8/8～2025/10/1"/>
    <s v="DFK/FJP/250829/004"/>
    <s v="OPP-061225-1-FJP-DFK"/>
    <x v="5"/>
    <s v="FCJ.BX.GCS"/>
    <s v="BX GCS"/>
    <m/>
    <m/>
    <n v="0"/>
    <n v="629132"/>
    <n v="60"/>
    <n v="629132"/>
    <n v="0"/>
    <n v="556944"/>
    <n v="27847.200000000001"/>
  </r>
  <r>
    <s v="自動チェックツール開発_第4弾④_2025/8/8～2025/10/1"/>
    <s v="DFK/FJP/250829/003"/>
    <s v="OPP-061225-1-FJP-DFK"/>
    <x v="5"/>
    <s v="FCJ.BX.GCS"/>
    <s v="BX GCS"/>
    <m/>
    <m/>
    <n v="0"/>
    <n v="608125"/>
    <e v="#REF!"/>
    <n v="608125"/>
    <n v="137782793"/>
    <n v="510250"/>
    <n v="25512.5"/>
  </r>
  <r>
    <s v="ﾊﾟﾚｯﾄｺﾝﾍﾞﾔｾｲｻﾝｾｲｶｲﾊﾂ モデル作成_20240818発注分_2025/8/18～2025/8/22"/>
    <s v="DFK/FJP/250822/004"/>
    <s v="OPP-120324-2-FJP-DFK"/>
    <x v="5"/>
    <s v="FCJ.BX.GCS"/>
    <s v="BX GCS"/>
    <m/>
    <m/>
    <n v="0"/>
    <n v="709825"/>
    <e v="#REF!"/>
    <n v="709825"/>
    <e v="#REF!"/>
    <n v="709825"/>
    <n v="35491.25"/>
  </r>
  <r>
    <s v="【特急対応】3Dモデリング52_20250819"/>
    <s v="DFK/FJP/250827/001"/>
    <s v="OPP-120324-1-FJP-DFK"/>
    <x v="5"/>
    <s v="FCJ.BX.GCS"/>
    <s v="BX GCS"/>
    <m/>
    <m/>
    <n v="0"/>
    <n v="128522"/>
    <e v="#REF!"/>
    <n v="128522"/>
    <e v="#REF!"/>
    <n v="128522"/>
    <n v="6426.1"/>
  </r>
  <r>
    <s v="【特急対応】3Dモデリング53_2025/8/20～2025/9/1"/>
    <s v="DFK/FJP/250829/005"/>
    <s v="OPP-120324-1-FJP-DFK"/>
    <x v="5"/>
    <s v="FCJ.BX.GCS"/>
    <s v="BX GCS"/>
    <m/>
    <m/>
    <n v="0"/>
    <n v="107303"/>
    <e v="#REF!"/>
    <n v="107303"/>
    <e v="#REF!"/>
    <n v="107303"/>
    <n v="5365.1500000000005"/>
  </r>
  <r>
    <s v="設計アウトプットの改革 IDW作成_20240825発注分_20250825-20250918"/>
    <s v="DFK/FJP/250904/001"/>
    <s v="OPP-120324-2-FJP-DFK"/>
    <x v="5"/>
    <s v="FCJ.BX.GCS"/>
    <s v="BX GCS"/>
    <m/>
    <m/>
    <n v="0"/>
    <n v="518603"/>
    <e v="#REF!"/>
    <n v="518603"/>
    <e v="#REF!"/>
    <n v="518603"/>
    <n v="25930.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A6F0E-8C42-48B0-B428-E89A06C8EB75}" name="ピボットテーブル2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D3:K39" firstHeaderRow="0" firstDataRow="1" firstDataCol="1"/>
  <pivotFields count="18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0">
        <item x="6"/>
        <item x="10"/>
        <item x="11"/>
        <item x="0"/>
        <item x="12"/>
        <item x="13"/>
        <item x="14"/>
        <item x="15"/>
        <item x="1"/>
        <item x="16"/>
        <item x="17"/>
        <item x="18"/>
        <item x="2"/>
        <item x="3"/>
        <item x="19"/>
        <item x="20"/>
        <item x="4"/>
        <item x="21"/>
        <item x="22"/>
        <item x="5"/>
        <item x="23"/>
        <item x="24"/>
        <item x="7"/>
        <item x="8"/>
        <item x="9"/>
        <item x="25"/>
        <item x="26"/>
        <item x="27"/>
        <item x="2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2">
    <field x="0"/>
    <field x="1"/>
  </rowFields>
  <rowItems count="36">
    <i>
      <x/>
    </i>
    <i r="1">
      <x v="3"/>
    </i>
    <i r="1">
      <x v="8"/>
    </i>
    <i r="1">
      <x v="12"/>
    </i>
    <i r="1">
      <x v="13"/>
    </i>
    <i r="1">
      <x v="16"/>
    </i>
    <i r="1">
      <x v="19"/>
    </i>
    <i>
      <x v="1"/>
    </i>
    <i r="1">
      <x/>
    </i>
    <i r="1">
      <x v="3"/>
    </i>
    <i r="1">
      <x v="22"/>
    </i>
    <i r="1">
      <x v="23"/>
    </i>
    <i r="1">
      <x v="24"/>
    </i>
    <i r="1">
      <x v="28"/>
    </i>
    <i>
      <x v="2"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8"/>
    </i>
    <i r="1">
      <x v="20"/>
    </i>
    <i r="1">
      <x v="21"/>
    </i>
    <i r="1">
      <x v="25"/>
    </i>
    <i r="1">
      <x v="26"/>
    </i>
    <i r="1">
      <x v="27"/>
    </i>
    <i>
      <x v="3"/>
    </i>
    <i r="1"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合計 / 売上総額" fld="3" baseField="0" baseItem="0"/>
    <dataField name="合計 / 7月" fld="11" baseField="0" baseItem="0"/>
    <dataField name="合計 / 8月" fld="12" baseField="0" baseItem="0"/>
    <dataField name="合計 / 9月" fld="13" baseField="0" baseItem="0"/>
    <dataField name="合計 / 10月" fld="14" baseField="0" baseItem="0"/>
    <dataField name="合計 / 11月" fld="15" baseField="0" baseItem="0"/>
    <dataField name="合計 / 12月" fld="16" baseField="0" baseItem="0"/>
  </dataFields>
  <formats count="22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32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  <format dxfId="31">
      <pivotArea dataOnly="0" labelOnly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30">
      <pivotArea dataOnly="0" labelOnly="1" fieldPosition="0">
        <references count="2">
          <reference field="0" count="1" selected="0">
            <x v="3"/>
          </reference>
          <reference field="1" count="1">
            <x v="28"/>
          </reference>
        </references>
      </pivotArea>
    </format>
    <format dxfId="29">
      <pivotArea dataOnly="0" labelOnly="1" outline="0" axis="axisValues" fieldPosition="0"/>
    </format>
    <format dxfId="28">
      <pivotArea collapsedLevelsAreSubtotals="1" fieldPosition="0">
        <references count="1">
          <reference field="0" count="1">
            <x v="2"/>
          </reference>
        </references>
      </pivotArea>
    </format>
    <format dxfId="27">
      <pivotArea collapsedLevelsAreSubtotals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26">
      <pivotArea dataOnly="0" labelOnly="1" fieldPosition="0">
        <references count="1">
          <reference field="0" count="1">
            <x v="2"/>
          </reference>
        </references>
      </pivotArea>
    </format>
    <format dxfId="25">
      <pivotArea dataOnly="0" labelOnly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24">
      <pivotArea collapsedLevelsAreSubtotals="1" fieldPosition="0">
        <references count="1">
          <reference field="0" count="1">
            <x v="0"/>
          </reference>
        </references>
      </pivotArea>
    </format>
    <format dxfId="23">
      <pivotArea collapsedLevelsAreSubtotals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22">
      <pivotArea dataOnly="0" labelOnly="1" fieldPosition="0">
        <references count="1">
          <reference field="0" count="1">
            <x v="0"/>
          </reference>
        </references>
      </pivotArea>
    </format>
    <format dxfId="21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20">
      <pivotArea collapsedLevelsAreSubtotals="1" fieldPosition="0">
        <references count="1">
          <reference field="0" count="1">
            <x v="1"/>
          </reference>
        </references>
      </pivotArea>
    </format>
    <format dxfId="19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  <format dxfId="18">
      <pivotArea dataOnly="0" labelOnly="1" fieldPosition="0">
        <references count="1">
          <reference field="0" count="1">
            <x v="1"/>
          </reference>
        </references>
      </pivotArea>
    </format>
    <format dxfId="17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A94F5-25AF-43EA-97E9-D1074190AC43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39" firstHeaderRow="1" firstDataRow="1" firstDataCol="1"/>
  <pivotFields count="18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30">
        <item x="6"/>
        <item x="10"/>
        <item x="11"/>
        <item x="0"/>
        <item x="12"/>
        <item x="13"/>
        <item x="14"/>
        <item x="15"/>
        <item x="1"/>
        <item x="16"/>
        <item x="17"/>
        <item x="18"/>
        <item x="2"/>
        <item x="3"/>
        <item x="19"/>
        <item x="20"/>
        <item x="4"/>
        <item x="21"/>
        <item x="22"/>
        <item x="5"/>
        <item x="23"/>
        <item x="24"/>
        <item x="7"/>
        <item x="8"/>
        <item x="9"/>
        <item x="25"/>
        <item x="26"/>
        <item x="27"/>
        <item x="2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6">
    <i>
      <x/>
    </i>
    <i r="1">
      <x v="3"/>
    </i>
    <i r="1">
      <x v="8"/>
    </i>
    <i r="1">
      <x v="12"/>
    </i>
    <i r="1">
      <x v="13"/>
    </i>
    <i r="1">
      <x v="16"/>
    </i>
    <i r="1">
      <x v="19"/>
    </i>
    <i>
      <x v="1"/>
    </i>
    <i r="1">
      <x/>
    </i>
    <i r="1">
      <x v="3"/>
    </i>
    <i r="1">
      <x v="22"/>
    </i>
    <i r="1">
      <x v="23"/>
    </i>
    <i r="1">
      <x v="24"/>
    </i>
    <i r="1">
      <x v="28"/>
    </i>
    <i>
      <x v="2"/>
    </i>
    <i r="1"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4"/>
    </i>
    <i r="1">
      <x v="15"/>
    </i>
    <i r="1">
      <x v="17"/>
    </i>
    <i r="1">
      <x v="18"/>
    </i>
    <i r="1">
      <x v="20"/>
    </i>
    <i r="1">
      <x v="21"/>
    </i>
    <i r="1">
      <x v="25"/>
    </i>
    <i r="1">
      <x v="26"/>
    </i>
    <i r="1">
      <x v="27"/>
    </i>
    <i>
      <x v="3"/>
    </i>
    <i r="1">
      <x v="28"/>
    </i>
    <i t="grand">
      <x/>
    </i>
  </rowItems>
  <colItems count="1">
    <i/>
  </colItems>
  <dataFields count="1">
    <dataField name="合計 / 売上総額" fld="3" baseField="0" baseItem="0"/>
  </dataFields>
  <formats count="22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54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  <format dxfId="53">
      <pivotArea dataOnly="0" labelOnly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52">
      <pivotArea dataOnly="0" labelOnly="1" fieldPosition="0">
        <references count="2">
          <reference field="0" count="1" selected="0">
            <x v="3"/>
          </reference>
          <reference field="1" count="1">
            <x v="28"/>
          </reference>
        </references>
      </pivotArea>
    </format>
    <format dxfId="51">
      <pivotArea dataOnly="0" labelOnly="1" outline="0" axis="axisValues" fieldPosition="0"/>
    </format>
    <format dxfId="50">
      <pivotArea collapsedLevelsAreSubtotals="1" fieldPosition="0">
        <references count="1">
          <reference field="0" count="1">
            <x v="2"/>
          </reference>
        </references>
      </pivotArea>
    </format>
    <format dxfId="49">
      <pivotArea collapsedLevelsAreSubtotals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48">
      <pivotArea dataOnly="0" labelOnly="1" fieldPosition="0">
        <references count="1">
          <reference field="0" count="1">
            <x v="2"/>
          </reference>
        </references>
      </pivotArea>
    </format>
    <format dxfId="47">
      <pivotArea dataOnly="0" labelOnly="1" fieldPosition="0">
        <references count="2">
          <reference field="0" count="1" selected="0">
            <x v="2"/>
          </reference>
          <reference field="1" count="18">
            <x v="1"/>
            <x v="2"/>
            <x v="4"/>
            <x v="5"/>
            <x v="6"/>
            <x v="7"/>
            <x v="9"/>
            <x v="10"/>
            <x v="11"/>
            <x v="14"/>
            <x v="15"/>
            <x v="17"/>
            <x v="18"/>
            <x v="20"/>
            <x v="21"/>
            <x v="25"/>
            <x v="26"/>
            <x v="27"/>
          </reference>
        </references>
      </pivotArea>
    </format>
    <format dxfId="46">
      <pivotArea collapsedLevelsAreSubtotals="1" fieldPosition="0">
        <references count="1">
          <reference field="0" count="1">
            <x v="0"/>
          </reference>
        </references>
      </pivotArea>
    </format>
    <format dxfId="45">
      <pivotArea collapsedLevelsAreSubtotals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44">
      <pivotArea dataOnly="0" labelOnly="1" fieldPosition="0">
        <references count="1">
          <reference field="0" count="1">
            <x v="0"/>
          </reference>
        </references>
      </pivotArea>
    </format>
    <format dxfId="43">
      <pivotArea dataOnly="0" labelOnly="1" fieldPosition="0">
        <references count="2">
          <reference field="0" count="1" selected="0">
            <x v="0"/>
          </reference>
          <reference field="1" count="6">
            <x v="3"/>
            <x v="8"/>
            <x v="12"/>
            <x v="13"/>
            <x v="16"/>
            <x v="19"/>
          </reference>
        </references>
      </pivotArea>
    </format>
    <format dxfId="42">
      <pivotArea collapsedLevelsAreSubtotals="1" fieldPosition="0">
        <references count="1">
          <reference field="0" count="1">
            <x v="1"/>
          </reference>
        </references>
      </pivotArea>
    </format>
    <format dxfId="41">
      <pivotArea collapsedLevelsAreSubtotals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  <format dxfId="40">
      <pivotArea dataOnly="0" labelOnly="1" fieldPosition="0">
        <references count="1">
          <reference field="0" count="1">
            <x v="1"/>
          </reference>
        </references>
      </pivotArea>
    </format>
    <format dxfId="39">
      <pivotArea dataOnly="0" labelOnly="1" fieldPosition="0">
        <references count="2">
          <reference field="0" count="1" selected="0">
            <x v="1"/>
          </reference>
          <reference field="1" count="6">
            <x v="0"/>
            <x v="3"/>
            <x v="22"/>
            <x v="23"/>
            <x v="24"/>
            <x v="2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6FC42-3B42-45F9-9C97-1DABA6F6F576}" name="ピボットテーブル1" cacheId="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3" firstHeaderRow="1" firstDataRow="1" firstDataCol="1"/>
  <pivotFields count="15">
    <pivotField showAll="0"/>
    <pivotField showAll="0"/>
    <pivotField showAll="0"/>
    <pivotField axis="axisRow" showAll="0">
      <items count="10">
        <item x="6"/>
        <item x="0"/>
        <item x="7"/>
        <item x="5"/>
        <item x="3"/>
        <item x="2"/>
        <item x="4"/>
        <item x="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合計 / FCJ 5%" fld="14" baseField="0" baseItem="0"/>
  </dataFields>
  <formats count="17">
    <format dxfId="16">
      <pivotArea collapsedLevelsAreSubtotals="1" fieldPosition="0">
        <references count="1">
          <reference field="3" count="0"/>
        </references>
      </pivotArea>
    </format>
    <format dxfId="15">
      <pivotArea collapsedLevelsAreSubtotals="1" fieldPosition="0">
        <references count="1">
          <reference field="3" count="1">
            <x v="0"/>
          </reference>
        </references>
      </pivotArea>
    </format>
    <format dxfId="14">
      <pivotArea dataOnly="0" labelOnly="1" fieldPosition="0">
        <references count="1">
          <reference field="3" count="1">
            <x v="0"/>
          </reference>
        </references>
      </pivotArea>
    </format>
    <format dxfId="13">
      <pivotArea collapsedLevelsAreSubtotals="1" fieldPosition="0">
        <references count="1">
          <reference field="3" count="1">
            <x v="2"/>
          </reference>
        </references>
      </pivotArea>
    </format>
    <format dxfId="12">
      <pivotArea dataOnly="0" labelOnly="1" fieldPosition="0">
        <references count="1">
          <reference field="3" count="1">
            <x v="2"/>
          </reference>
        </references>
      </pivotArea>
    </format>
    <format dxfId="11">
      <pivotArea collapsedLevelsAreSubtotals="1" fieldPosition="0">
        <references count="1">
          <reference field="3" count="1">
            <x v="1"/>
          </reference>
        </references>
      </pivotArea>
    </format>
    <format dxfId="10">
      <pivotArea dataOnly="0" labelOnly="1" fieldPosition="0">
        <references count="1">
          <reference field="3" count="1">
            <x v="1"/>
          </reference>
        </references>
      </pivotArea>
    </format>
    <format dxfId="9">
      <pivotArea collapsedLevelsAreSubtotals="1" fieldPosition="0">
        <references count="1">
          <reference field="3" count="1">
            <x v="3"/>
          </reference>
        </references>
      </pivotArea>
    </format>
    <format dxfId="8">
      <pivotArea dataOnly="0" labelOnly="1" fieldPosition="0">
        <references count="1">
          <reference field="3" count="1">
            <x v="3"/>
          </reference>
        </references>
      </pivotArea>
    </format>
    <format dxfId="7">
      <pivotArea collapsedLevelsAreSubtotals="1" fieldPosition="0">
        <references count="1">
          <reference field="3" count="1">
            <x v="6"/>
          </reference>
        </references>
      </pivotArea>
    </format>
    <format dxfId="6">
      <pivotArea dataOnly="0" labelOnly="1" fieldPosition="0">
        <references count="1">
          <reference field="3" count="1">
            <x v="6"/>
          </reference>
        </references>
      </pivotArea>
    </format>
    <format dxfId="5">
      <pivotArea collapsedLevelsAreSubtotals="1" fieldPosition="0">
        <references count="1">
          <reference field="3" count="1">
            <x v="8"/>
          </reference>
        </references>
      </pivotArea>
    </format>
    <format dxfId="4">
      <pivotArea dataOnly="0" labelOnly="1" fieldPosition="0">
        <references count="1">
          <reference field="3" count="1">
            <x v="8"/>
          </reference>
        </references>
      </pivotArea>
    </format>
    <format dxfId="3">
      <pivotArea collapsedLevelsAreSubtotals="1" fieldPosition="0">
        <references count="1">
          <reference field="3" count="2">
            <x v="4"/>
            <x v="5"/>
          </reference>
        </references>
      </pivotArea>
    </format>
    <format dxfId="2">
      <pivotArea dataOnly="0" labelOnly="1" fieldPosition="0">
        <references count="1">
          <reference field="3" count="2">
            <x v="4"/>
            <x v="5"/>
          </reference>
        </references>
      </pivotArea>
    </format>
    <format dxfId="1">
      <pivotArea collapsedLevelsAreSubtotals="1" fieldPosition="0">
        <references count="1">
          <reference field="3" count="1">
            <x v="7"/>
          </reference>
        </references>
      </pivotArea>
    </format>
    <format dxfId="0">
      <pivotArea dataOnly="0" labelOnly="1" fieldPosition="0">
        <references count="1">
          <reference field="3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4D0A-D9CF-49F9-9393-D9306D82611D}">
  <dimension ref="B1:M58"/>
  <sheetViews>
    <sheetView zoomScale="70" zoomScaleNormal="70" workbookViewId="0">
      <selection activeCell="L13" sqref="L13"/>
    </sheetView>
  </sheetViews>
  <sheetFormatPr defaultRowHeight="21" customHeight="1" x14ac:dyDescent="0.55000000000000004"/>
  <cols>
    <col min="1" max="1" width="5.33203125" customWidth="1"/>
    <col min="2" max="2" width="20.58203125" customWidth="1"/>
    <col min="3" max="3" width="25" customWidth="1"/>
    <col min="4" max="4" width="26.25" customWidth="1"/>
    <col min="5" max="5" width="31.75" customWidth="1"/>
    <col min="6" max="6" width="7.75" customWidth="1"/>
    <col min="7" max="7" width="23.08203125" customWidth="1"/>
    <col min="8" max="8" width="13.5" customWidth="1"/>
    <col min="9" max="9" width="21.58203125" customWidth="1"/>
    <col min="10" max="10" width="28.5" customWidth="1"/>
    <col min="11" max="11" width="25.75" customWidth="1"/>
    <col min="12" max="12" width="41.58203125" customWidth="1"/>
    <col min="13" max="13" width="29.33203125" customWidth="1"/>
  </cols>
  <sheetData>
    <row r="1" spans="2:11" ht="21" customHeight="1" x14ac:dyDescent="0.55000000000000004">
      <c r="B1" s="9" t="s">
        <v>0</v>
      </c>
      <c r="G1" s="9" t="s">
        <v>1</v>
      </c>
      <c r="H1" s="14" t="s">
        <v>2</v>
      </c>
      <c r="K1" s="14"/>
    </row>
    <row r="2" spans="2:11" ht="21" customHeight="1" x14ac:dyDescent="0.55000000000000004">
      <c r="C2" s="67" t="s">
        <v>3</v>
      </c>
      <c r="D2" s="67" t="s">
        <v>4</v>
      </c>
      <c r="E2" s="67" t="s">
        <v>5</v>
      </c>
      <c r="H2" s="67" t="s">
        <v>3</v>
      </c>
      <c r="I2" s="67" t="s">
        <v>6</v>
      </c>
      <c r="J2" s="67" t="s">
        <v>7</v>
      </c>
      <c r="K2" s="67" t="s">
        <v>8</v>
      </c>
    </row>
    <row r="3" spans="2:11" ht="21" customHeight="1" x14ac:dyDescent="0.55000000000000004">
      <c r="B3" s="35"/>
      <c r="C3" s="19" t="s">
        <v>9</v>
      </c>
      <c r="D3" s="68">
        <f>D31+D41+D51</f>
        <v>276200403.55800003</v>
      </c>
      <c r="E3" s="68">
        <f>E31+E41+E51</f>
        <v>0</v>
      </c>
      <c r="H3" s="19" t="s">
        <v>9</v>
      </c>
      <c r="I3" s="222">
        <f>J31+J41+J51</f>
        <v>414913017.28356504</v>
      </c>
      <c r="J3" s="22">
        <f>フォロー状況!FP21</f>
        <v>0</v>
      </c>
      <c r="K3" s="22">
        <v>231707997</v>
      </c>
    </row>
    <row r="4" spans="2:11" ht="21" customHeight="1" x14ac:dyDescent="0.65">
      <c r="B4" s="69"/>
      <c r="C4" s="19" t="s">
        <v>10</v>
      </c>
      <c r="D4" s="68">
        <f>D32+D42+D52</f>
        <v>6490000</v>
      </c>
      <c r="E4" s="20">
        <f>E32+E42+E52</f>
        <v>0</v>
      </c>
      <c r="H4" s="19" t="s">
        <v>10</v>
      </c>
      <c r="I4" s="222">
        <f>J32+J42+J52</f>
        <v>6490000</v>
      </c>
      <c r="J4" s="22">
        <f>フォロー状況!FP22</f>
        <v>0</v>
      </c>
      <c r="K4" s="22">
        <v>10000000</v>
      </c>
    </row>
    <row r="5" spans="2:11" ht="21" customHeight="1" x14ac:dyDescent="0.65">
      <c r="B5" s="69"/>
      <c r="C5" s="19" t="s">
        <v>11</v>
      </c>
      <c r="D5" s="68">
        <f>D33+D43+D53</f>
        <v>9960000</v>
      </c>
      <c r="E5" s="20"/>
      <c r="H5" s="19" t="s">
        <v>11</v>
      </c>
      <c r="I5" s="222">
        <f>J33+J43+J53</f>
        <v>9960000</v>
      </c>
      <c r="J5" s="22">
        <f>フォロー状況!FP23</f>
        <v>0</v>
      </c>
      <c r="K5" s="22">
        <v>154970575</v>
      </c>
    </row>
    <row r="6" spans="2:11" ht="21" customHeight="1" x14ac:dyDescent="0.55000000000000004">
      <c r="B6" s="30" t="s">
        <v>12</v>
      </c>
      <c r="C6" s="166" t="s">
        <v>13</v>
      </c>
      <c r="D6" s="167">
        <f ca="1">D34+D44+D54</f>
        <v>2700000</v>
      </c>
      <c r="E6" s="20">
        <f>E33+E43</f>
        <v>0</v>
      </c>
      <c r="H6" s="19" t="s">
        <v>13</v>
      </c>
      <c r="I6" s="222">
        <f ca="1">J34+J44+J54</f>
        <v>2700000</v>
      </c>
      <c r="J6" s="22">
        <f>フォロー状況!FP24</f>
        <v>0</v>
      </c>
      <c r="K6" s="22">
        <v>23308280</v>
      </c>
    </row>
    <row r="7" spans="2:11" ht="21" customHeight="1" x14ac:dyDescent="0.55000000000000004">
      <c r="B7" s="30" t="s">
        <v>14</v>
      </c>
      <c r="C7" s="19" t="s">
        <v>15</v>
      </c>
      <c r="D7" s="68">
        <f>D35+D45+D55</f>
        <v>0</v>
      </c>
      <c r="E7" s="20">
        <f>E34+E44+E54</f>
        <v>0</v>
      </c>
      <c r="H7" s="19" t="s">
        <v>15</v>
      </c>
      <c r="I7" s="222">
        <f>J35+J45+J55</f>
        <v>0</v>
      </c>
      <c r="J7" s="22">
        <f>フォロー状況!FP25</f>
        <v>0</v>
      </c>
      <c r="K7" s="22">
        <v>41500000</v>
      </c>
    </row>
    <row r="8" spans="2:11" ht="21" customHeight="1" x14ac:dyDescent="0.55000000000000004">
      <c r="C8" s="23" t="s">
        <v>16</v>
      </c>
      <c r="D8" s="24">
        <f ca="1">SUM(D3:D7)</f>
        <v>295350403.55800003</v>
      </c>
      <c r="E8" s="24">
        <f>E36+E46+E56</f>
        <v>327233375</v>
      </c>
      <c r="H8" s="223" t="s">
        <v>17</v>
      </c>
      <c r="I8" s="66">
        <f ca="1">SUM(I3:I7)</f>
        <v>434063017.28356504</v>
      </c>
      <c r="J8" s="66"/>
      <c r="K8" s="66">
        <v>461486852</v>
      </c>
    </row>
    <row r="9" spans="2:11" ht="21" customHeight="1" x14ac:dyDescent="0.6">
      <c r="H9" s="223" t="s">
        <v>18</v>
      </c>
      <c r="I9" s="171">
        <v>35585396.700000003</v>
      </c>
      <c r="J9" s="170">
        <f>J8/K8</f>
        <v>0</v>
      </c>
    </row>
    <row r="10" spans="2:11" ht="21" customHeight="1" x14ac:dyDescent="0.6">
      <c r="J10" s="170"/>
    </row>
    <row r="11" spans="2:11" ht="21" customHeight="1" x14ac:dyDescent="0.55000000000000004">
      <c r="H11" s="223" t="s">
        <v>19</v>
      </c>
      <c r="I11" s="224">
        <f ca="1">I8+I9</f>
        <v>469648413.98356503</v>
      </c>
    </row>
    <row r="12" spans="2:11" ht="21" customHeight="1" x14ac:dyDescent="0.55000000000000004">
      <c r="G12" s="172"/>
      <c r="H12" s="172"/>
      <c r="I12" s="172"/>
    </row>
    <row r="13" spans="2:11" ht="21" customHeight="1" x14ac:dyDescent="0.55000000000000004">
      <c r="G13" s="172"/>
      <c r="H13" s="172"/>
      <c r="I13" s="172"/>
    </row>
    <row r="14" spans="2:11" ht="21" customHeight="1" x14ac:dyDescent="0.55000000000000004">
      <c r="G14" s="172"/>
      <c r="H14" s="172"/>
      <c r="I14" s="172"/>
    </row>
    <row r="15" spans="2:11" ht="21" customHeight="1" x14ac:dyDescent="0.55000000000000004">
      <c r="G15" s="9" t="s">
        <v>20</v>
      </c>
      <c r="H15" s="172"/>
      <c r="I15" s="172"/>
    </row>
    <row r="16" spans="2:11" ht="21" customHeight="1" x14ac:dyDescent="0.55000000000000004">
      <c r="H16" s="67" t="s">
        <v>3</v>
      </c>
      <c r="I16" s="67"/>
      <c r="J16" s="67" t="s">
        <v>7</v>
      </c>
    </row>
    <row r="17" spans="2:13" ht="21" customHeight="1" x14ac:dyDescent="0.55000000000000004">
      <c r="G17" s="172"/>
      <c r="H17" s="19" t="s">
        <v>9</v>
      </c>
      <c r="I17" s="19"/>
      <c r="J17" s="178">
        <f>J3</f>
        <v>0</v>
      </c>
    </row>
    <row r="18" spans="2:13" ht="21" customHeight="1" x14ac:dyDescent="0.55000000000000004">
      <c r="G18" s="172"/>
      <c r="H18" s="19" t="s">
        <v>10</v>
      </c>
      <c r="I18" s="19"/>
      <c r="J18" s="178">
        <f t="shared" ref="J18:J21" si="0">J4</f>
        <v>0</v>
      </c>
      <c r="K18" s="174"/>
      <c r="L18" s="176" t="s">
        <v>21</v>
      </c>
      <c r="M18" s="176" t="s">
        <v>22</v>
      </c>
    </row>
    <row r="19" spans="2:13" ht="25.5" customHeight="1" x14ac:dyDescent="0.55000000000000004">
      <c r="G19" s="172"/>
      <c r="H19" s="19" t="s">
        <v>11</v>
      </c>
      <c r="I19" s="19"/>
      <c r="J19" s="178">
        <f t="shared" si="0"/>
        <v>0</v>
      </c>
      <c r="K19" s="175">
        <f>ROUND((SUM(J17:J19)+I9)/100000000,2)</f>
        <v>0.36</v>
      </c>
      <c r="L19" s="176" t="str">
        <f>"Influence加えた積み上げ"&amp;K19&amp;"億円"</f>
        <v>Influence加えた積み上げ0.36億円</v>
      </c>
    </row>
    <row r="20" spans="2:13" ht="21" customHeight="1" x14ac:dyDescent="0.55000000000000004">
      <c r="G20" s="172"/>
      <c r="H20" s="166" t="s">
        <v>13</v>
      </c>
      <c r="I20" s="166"/>
      <c r="J20" s="173">
        <f>J6</f>
        <v>0</v>
      </c>
      <c r="K20" s="177">
        <f>45000-(K19*10000)</f>
        <v>41400</v>
      </c>
      <c r="L20" s="179" t="str">
        <f>"KPI達成まであと"&amp;K20&amp;"万円"</f>
        <v>KPI達成まであと41400万円</v>
      </c>
    </row>
    <row r="21" spans="2:13" ht="25.5" customHeight="1" x14ac:dyDescent="0.55000000000000004">
      <c r="G21" s="172"/>
      <c r="H21" s="19" t="s">
        <v>15</v>
      </c>
      <c r="I21" s="19"/>
      <c r="J21" s="22">
        <f t="shared" si="0"/>
        <v>0</v>
      </c>
    </row>
    <row r="22" spans="2:13" ht="21" customHeight="1" x14ac:dyDescent="0.55000000000000004">
      <c r="G22" s="172"/>
      <c r="H22" s="23" t="s">
        <v>16</v>
      </c>
      <c r="I22" s="23"/>
      <c r="J22" s="66">
        <f>J8</f>
        <v>0</v>
      </c>
    </row>
    <row r="23" spans="2:13" ht="21" customHeight="1" x14ac:dyDescent="0.55000000000000004">
      <c r="G23" s="172"/>
      <c r="H23" s="172"/>
      <c r="I23" s="172"/>
    </row>
    <row r="27" spans="2:13" s="169" customFormat="1" ht="21" customHeight="1" x14ac:dyDescent="0.55000000000000004"/>
    <row r="29" spans="2:13" ht="21" customHeight="1" x14ac:dyDescent="0.55000000000000004">
      <c r="B29" s="9" t="s">
        <v>23</v>
      </c>
      <c r="C29" s="9" t="s">
        <v>24</v>
      </c>
      <c r="D29" s="1"/>
      <c r="E29" s="1"/>
      <c r="G29" s="14" t="s">
        <v>25</v>
      </c>
      <c r="H29" s="9" t="s">
        <v>23</v>
      </c>
      <c r="I29" s="9" t="s">
        <v>24</v>
      </c>
      <c r="J29" s="1"/>
      <c r="K29" s="1"/>
      <c r="M29" s="14" t="s">
        <v>25</v>
      </c>
    </row>
    <row r="30" spans="2:13" ht="21" customHeight="1" x14ac:dyDescent="0.55000000000000004">
      <c r="B30" s="35">
        <f>D36/E36</f>
        <v>1.723519481611802</v>
      </c>
      <c r="C30" s="67" t="s">
        <v>3</v>
      </c>
      <c r="D30" s="67" t="s">
        <v>4</v>
      </c>
      <c r="E30" s="67" t="s">
        <v>5</v>
      </c>
      <c r="H30" s="35"/>
      <c r="I30" s="67" t="s">
        <v>3</v>
      </c>
      <c r="J30" s="67" t="s">
        <v>26</v>
      </c>
    </row>
    <row r="31" spans="2:13" ht="21" customHeight="1" x14ac:dyDescent="0.55000000000000004">
      <c r="B31" s="8">
        <f>D36-E36</f>
        <v>40559326.420000002</v>
      </c>
      <c r="C31" s="19" t="s">
        <v>9</v>
      </c>
      <c r="D31" s="20">
        <f>フォロー状況!FA6</f>
        <v>96617701.420000002</v>
      </c>
      <c r="E31" s="163"/>
      <c r="H31" s="8"/>
      <c r="I31" s="19" t="s">
        <v>9</v>
      </c>
      <c r="J31" s="20">
        <f>D31+フォロー状況!O26</f>
        <v>142798732.92000002</v>
      </c>
    </row>
    <row r="32" spans="2:13" ht="21" customHeight="1" x14ac:dyDescent="0.55000000000000004">
      <c r="B32" s="34"/>
      <c r="C32" s="19" t="s">
        <v>10</v>
      </c>
      <c r="D32" s="20">
        <f>フォロー状況!FA7</f>
        <v>0</v>
      </c>
      <c r="E32" s="163"/>
      <c r="H32" s="34"/>
      <c r="I32" s="19" t="s">
        <v>10</v>
      </c>
      <c r="J32" s="20">
        <f>D32</f>
        <v>0</v>
      </c>
    </row>
    <row r="33" spans="2:13" ht="21" customHeight="1" x14ac:dyDescent="0.55000000000000004">
      <c r="B33" s="13"/>
      <c r="C33" s="19" t="s">
        <v>27</v>
      </c>
      <c r="D33" s="20">
        <f>フォロー状況!FA8</f>
        <v>0</v>
      </c>
      <c r="E33" s="163"/>
      <c r="H33" s="13"/>
      <c r="I33" s="19" t="s">
        <v>27</v>
      </c>
      <c r="J33" s="20">
        <f>D33</f>
        <v>0</v>
      </c>
    </row>
    <row r="34" spans="2:13" ht="21" customHeight="1" x14ac:dyDescent="0.55000000000000004">
      <c r="B34" s="13"/>
      <c r="C34" s="19" t="s">
        <v>13</v>
      </c>
      <c r="D34" s="20">
        <f>フォロー状況!FA9</f>
        <v>0</v>
      </c>
      <c r="E34" s="163"/>
      <c r="H34" s="13"/>
      <c r="I34" s="19" t="s">
        <v>13</v>
      </c>
      <c r="J34" s="20">
        <f>D34</f>
        <v>0</v>
      </c>
    </row>
    <row r="35" spans="2:13" ht="21" customHeight="1" x14ac:dyDescent="0.55000000000000004">
      <c r="B35" s="13"/>
      <c r="C35" s="19" t="s">
        <v>15</v>
      </c>
      <c r="D35" s="20">
        <f>フォロー状況!FA10</f>
        <v>0</v>
      </c>
      <c r="E35" s="163"/>
      <c r="H35" s="13"/>
      <c r="I35" s="19" t="s">
        <v>15</v>
      </c>
      <c r="J35" s="20">
        <f>D35</f>
        <v>0</v>
      </c>
    </row>
    <row r="36" spans="2:13" ht="21" customHeight="1" x14ac:dyDescent="0.55000000000000004">
      <c r="B36" s="13"/>
      <c r="C36" s="23" t="s">
        <v>16</v>
      </c>
      <c r="D36" s="24">
        <f>フォロー状況!FA11</f>
        <v>96617701.420000002</v>
      </c>
      <c r="E36" s="24">
        <v>56058375</v>
      </c>
      <c r="G36" s="218">
        <f>フォロー状況!O26</f>
        <v>46181031.5</v>
      </c>
      <c r="H36" s="13"/>
      <c r="I36" s="23" t="s">
        <v>16</v>
      </c>
      <c r="J36" s="24">
        <f>SUM(J31:J35)</f>
        <v>142798732.92000002</v>
      </c>
      <c r="M36" s="218">
        <f>フォロー状況!U26</f>
        <v>0</v>
      </c>
    </row>
    <row r="37" spans="2:13" ht="21" customHeight="1" x14ac:dyDescent="0.55000000000000004">
      <c r="B37" s="13"/>
      <c r="C37" s="1"/>
      <c r="D37" s="1"/>
      <c r="E37" s="1"/>
    </row>
    <row r="38" spans="2:13" ht="21" customHeight="1" x14ac:dyDescent="0.55000000000000004">
      <c r="B38" s="13"/>
      <c r="C38" s="1"/>
      <c r="D38" s="1"/>
      <c r="E38" s="1"/>
    </row>
    <row r="39" spans="2:13" ht="21" customHeight="1" x14ac:dyDescent="0.55000000000000004">
      <c r="B39" s="9" t="s">
        <v>28</v>
      </c>
      <c r="C39" s="9" t="s">
        <v>29</v>
      </c>
      <c r="D39" s="1"/>
      <c r="E39" s="1"/>
    </row>
    <row r="40" spans="2:13" ht="21" customHeight="1" x14ac:dyDescent="0.55000000000000004">
      <c r="B40" s="35">
        <f>D46/E46</f>
        <v>0.88447232339672144</v>
      </c>
      <c r="C40" s="67" t="s">
        <v>3</v>
      </c>
      <c r="D40" s="67" t="s">
        <v>4</v>
      </c>
      <c r="E40" s="67" t="s">
        <v>5</v>
      </c>
      <c r="I40" s="67" t="s">
        <v>3</v>
      </c>
      <c r="J40" s="67" t="s">
        <v>26</v>
      </c>
    </row>
    <row r="41" spans="2:13" ht="21" customHeight="1" x14ac:dyDescent="0.55000000000000004">
      <c r="B41" s="8">
        <f>D46-E46</f>
        <v>-17617970.681999981</v>
      </c>
      <c r="C41" s="19" t="s">
        <v>9</v>
      </c>
      <c r="D41" s="20">
        <f>フォロー状況!FA30</f>
        <v>127732029.318</v>
      </c>
      <c r="E41" s="163"/>
      <c r="I41" s="19" t="s">
        <v>9</v>
      </c>
      <c r="J41" s="20">
        <f>D41+フォロー状況!O52</f>
        <v>188491847.04250002</v>
      </c>
    </row>
    <row r="42" spans="2:13" ht="21" customHeight="1" x14ac:dyDescent="0.55000000000000004">
      <c r="B42" s="13"/>
      <c r="C42" s="19" t="s">
        <v>10</v>
      </c>
      <c r="D42" s="20">
        <f>フォロー状況!FA31</f>
        <v>6490000</v>
      </c>
      <c r="E42" s="163"/>
      <c r="I42" s="19" t="s">
        <v>10</v>
      </c>
      <c r="J42" s="20">
        <f>D42</f>
        <v>6490000</v>
      </c>
    </row>
    <row r="43" spans="2:13" ht="21" customHeight="1" x14ac:dyDescent="0.55000000000000004">
      <c r="B43" s="13"/>
      <c r="C43" s="19" t="s">
        <v>27</v>
      </c>
      <c r="D43" s="20">
        <f>フォロー状況!FA32</f>
        <v>660000</v>
      </c>
      <c r="E43" s="163"/>
      <c r="I43" s="19" t="s">
        <v>27</v>
      </c>
      <c r="J43" s="20">
        <f>D43</f>
        <v>660000</v>
      </c>
    </row>
    <row r="44" spans="2:13" ht="21" customHeight="1" x14ac:dyDescent="0.55000000000000004">
      <c r="B44" s="30" t="s">
        <v>12</v>
      </c>
      <c r="C44" s="166" t="s">
        <v>13</v>
      </c>
      <c r="D44" s="167">
        <f>フォロー状況!FA33</f>
        <v>0</v>
      </c>
      <c r="E44" s="163"/>
      <c r="I44" s="19" t="s">
        <v>13</v>
      </c>
      <c r="J44" s="20">
        <f>D44</f>
        <v>0</v>
      </c>
    </row>
    <row r="45" spans="2:13" ht="21" customHeight="1" x14ac:dyDescent="0.55000000000000004">
      <c r="B45" s="13"/>
      <c r="C45" s="19" t="s">
        <v>15</v>
      </c>
      <c r="D45" s="20">
        <f>フォロー状況!FA34</f>
        <v>0</v>
      </c>
      <c r="E45" s="163"/>
      <c r="I45" s="19" t="s">
        <v>15</v>
      </c>
      <c r="J45" s="20">
        <f>D45</f>
        <v>0</v>
      </c>
    </row>
    <row r="46" spans="2:13" ht="21" customHeight="1" x14ac:dyDescent="0.55000000000000004">
      <c r="B46" s="13"/>
      <c r="C46" s="23" t="s">
        <v>16</v>
      </c>
      <c r="D46" s="20">
        <f>フォロー状況!FA35</f>
        <v>134882029.31800002</v>
      </c>
      <c r="E46" s="24">
        <v>152500000</v>
      </c>
      <c r="G46" s="218">
        <f>フォロー状況!O52</f>
        <v>60759817.7245</v>
      </c>
      <c r="I46" s="23" t="s">
        <v>16</v>
      </c>
      <c r="J46" s="24">
        <f>SUM(J41:J45)</f>
        <v>195641847.04250002</v>
      </c>
    </row>
    <row r="47" spans="2:13" ht="21" customHeight="1" x14ac:dyDescent="0.55000000000000004">
      <c r="B47" s="13"/>
      <c r="C47" s="1"/>
      <c r="D47" s="1"/>
      <c r="E47" s="1"/>
    </row>
    <row r="48" spans="2:13" ht="21" customHeight="1" x14ac:dyDescent="0.55000000000000004">
      <c r="B48" s="13"/>
      <c r="C48" s="1"/>
      <c r="D48" s="1"/>
      <c r="E48" s="1"/>
    </row>
    <row r="49" spans="2:10" ht="21" customHeight="1" x14ac:dyDescent="0.55000000000000004">
      <c r="B49" s="9" t="s">
        <v>30</v>
      </c>
      <c r="C49" s="9" t="s">
        <v>31</v>
      </c>
      <c r="D49" s="1"/>
      <c r="E49" s="1"/>
    </row>
    <row r="50" spans="2:10" ht="21" customHeight="1" x14ac:dyDescent="0.55000000000000004">
      <c r="B50" s="35">
        <v>0.57915964693490618</v>
      </c>
      <c r="C50" s="67" t="s">
        <v>3</v>
      </c>
      <c r="D50" s="67" t="s">
        <v>4</v>
      </c>
      <c r="E50" s="67" t="s">
        <v>5</v>
      </c>
      <c r="I50" s="67" t="s">
        <v>3</v>
      </c>
      <c r="J50" s="67" t="s">
        <v>26</v>
      </c>
    </row>
    <row r="51" spans="2:10" ht="21" customHeight="1" x14ac:dyDescent="0.55000000000000004">
      <c r="B51" s="8">
        <v>-49943228.900000006</v>
      </c>
      <c r="C51" s="19" t="s">
        <v>9</v>
      </c>
      <c r="D51" s="68">
        <f>フォロー状況!FA56</f>
        <v>51850672.82</v>
      </c>
      <c r="E51" s="163"/>
      <c r="I51" s="19" t="s">
        <v>9</v>
      </c>
      <c r="J51" s="20">
        <f>D51+G56</f>
        <v>83622437.321065009</v>
      </c>
    </row>
    <row r="52" spans="2:10" ht="21" customHeight="1" x14ac:dyDescent="0.55000000000000004">
      <c r="B52" s="13"/>
      <c r="C52" s="19" t="s">
        <v>10</v>
      </c>
      <c r="D52" s="68">
        <f>フォロー状況!FA57</f>
        <v>0</v>
      </c>
      <c r="E52" s="163"/>
      <c r="I52" s="19" t="s">
        <v>10</v>
      </c>
      <c r="J52" s="20">
        <f>D52</f>
        <v>0</v>
      </c>
    </row>
    <row r="53" spans="2:10" ht="21" customHeight="1" x14ac:dyDescent="0.55000000000000004">
      <c r="B53" s="13"/>
      <c r="C53" s="166" t="s">
        <v>11</v>
      </c>
      <c r="D53" s="167">
        <f>フォロー状況!FA58</f>
        <v>9300000</v>
      </c>
      <c r="E53" s="163"/>
      <c r="I53" s="19" t="s">
        <v>27</v>
      </c>
      <c r="J53" s="20">
        <f>D53</f>
        <v>9300000</v>
      </c>
    </row>
    <row r="54" spans="2:10" ht="21" customHeight="1" x14ac:dyDescent="0.55000000000000004">
      <c r="B54" s="30" t="s">
        <v>12</v>
      </c>
      <c r="C54" s="166" t="s">
        <v>13</v>
      </c>
      <c r="D54" s="167">
        <f ca="1">フォロー状況!FA59</f>
        <v>2700000</v>
      </c>
      <c r="E54" s="163"/>
      <c r="I54" s="19" t="s">
        <v>13</v>
      </c>
      <c r="J54" s="20">
        <f ca="1">D54</f>
        <v>2700000</v>
      </c>
    </row>
    <row r="55" spans="2:10" ht="21" customHeight="1" x14ac:dyDescent="0.55000000000000004">
      <c r="B55" s="13"/>
      <c r="C55" s="19" t="s">
        <v>15</v>
      </c>
      <c r="D55" s="68">
        <f>フォロー状況!FA60</f>
        <v>0</v>
      </c>
      <c r="E55" s="163"/>
      <c r="I55" s="19" t="s">
        <v>15</v>
      </c>
      <c r="J55" s="20">
        <f>D55</f>
        <v>0</v>
      </c>
    </row>
    <row r="56" spans="2:10" ht="21" customHeight="1" x14ac:dyDescent="0.55000000000000004">
      <c r="B56" s="13"/>
      <c r="C56" s="23" t="s">
        <v>16</v>
      </c>
      <c r="D56" s="164">
        <f ca="1">フォロー状況!FA61</f>
        <v>63850672.82</v>
      </c>
      <c r="E56" s="24">
        <v>118675000</v>
      </c>
      <c r="G56" s="218">
        <f>フォロー状況!O77</f>
        <v>31771764.501065001</v>
      </c>
      <c r="I56" s="23" t="s">
        <v>16</v>
      </c>
      <c r="J56" s="24">
        <f ca="1">SUM(J51:J55)</f>
        <v>95622437.321065009</v>
      </c>
    </row>
    <row r="58" spans="2:10" ht="21" customHeight="1" x14ac:dyDescent="0.55000000000000004">
      <c r="C58" s="9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S87"/>
  <sheetViews>
    <sheetView tabSelected="1" zoomScale="70" zoomScaleNormal="70" workbookViewId="0">
      <pane xSplit="15" ySplit="4" topLeftCell="P5" activePane="bottomRight" state="frozen"/>
      <selection pane="topRight" activeCell="P1" sqref="P1"/>
      <selection pane="bottomLeft" activeCell="A4" sqref="A4"/>
      <selection pane="bottomRight" activeCell="C3" sqref="C3"/>
    </sheetView>
  </sheetViews>
  <sheetFormatPr defaultColWidth="9" defaultRowHeight="20.25" customHeight="1" outlineLevelRow="1" outlineLevelCol="1" x14ac:dyDescent="0.55000000000000004"/>
  <cols>
    <col min="1" max="1" width="10.58203125" style="1" bestFit="1" customWidth="1"/>
    <col min="2" max="2" width="32.08203125" style="1" customWidth="1"/>
    <col min="3" max="3" width="38.5" style="1" customWidth="1"/>
    <col min="4" max="4" width="5.75" style="1" customWidth="1"/>
    <col min="5" max="5" width="73.25" style="5" customWidth="1"/>
    <col min="6" max="6" width="10.5" style="5" customWidth="1"/>
    <col min="7" max="7" width="5.08203125" style="1" customWidth="1"/>
    <col min="8" max="8" width="7.75" style="203" customWidth="1"/>
    <col min="9" max="9" width="9.5" style="1" hidden="1" customWidth="1" outlineLevel="1"/>
    <col min="10" max="10" width="13.5" style="1" hidden="1" customWidth="1" outlineLevel="1"/>
    <col min="11" max="13" width="11.5" style="1" hidden="1" customWidth="1" outlineLevel="1"/>
    <col min="14" max="14" width="9.83203125" style="25" hidden="1" customWidth="1" outlineLevel="1"/>
    <col min="15" max="15" width="14.25" style="11" hidden="1" customWidth="1" collapsed="1"/>
    <col min="16" max="17" width="13.25" style="10" customWidth="1"/>
    <col min="18" max="47" width="5" style="5" hidden="1" customWidth="1" outlineLevel="1"/>
    <col min="48" max="48" width="13.25" style="11" customWidth="1" collapsed="1"/>
    <col min="49" max="51" width="4.75" style="1" hidden="1" customWidth="1" outlineLevel="1"/>
    <col min="52" max="53" width="4.75" style="2" hidden="1" customWidth="1" outlineLevel="1"/>
    <col min="54" max="58" width="4.75" style="1" hidden="1" customWidth="1" outlineLevel="1"/>
    <col min="59" max="60" width="4.75" style="2" hidden="1" customWidth="1" outlineLevel="1"/>
    <col min="61" max="65" width="4.75" style="1" hidden="1" customWidth="1" outlineLevel="1"/>
    <col min="66" max="67" width="4.75" style="2" hidden="1" customWidth="1" outlineLevel="1"/>
    <col min="68" max="72" width="4.75" style="1" hidden="1" customWidth="1" outlineLevel="1"/>
    <col min="73" max="74" width="4.75" style="2" hidden="1" customWidth="1" outlineLevel="1"/>
    <col min="75" max="79" width="4.75" style="1" hidden="1" customWidth="1" outlineLevel="1"/>
    <col min="80" max="80" width="12" style="11" customWidth="1" collapsed="1"/>
    <col min="81" max="85" width="4.83203125" style="5" hidden="1" customWidth="1" outlineLevel="1"/>
    <col min="86" max="87" width="4.83203125" style="209" hidden="1" customWidth="1" outlineLevel="1"/>
    <col min="88" max="92" width="4.83203125" style="5" hidden="1" customWidth="1" outlineLevel="1"/>
    <col min="93" max="94" width="4.83203125" style="209" hidden="1" customWidth="1" outlineLevel="1"/>
    <col min="95" max="99" width="4.83203125" style="5" hidden="1" customWidth="1" outlineLevel="1"/>
    <col min="100" max="101" width="4.83203125" style="209" hidden="1" customWidth="1" outlineLevel="1"/>
    <col min="102" max="106" width="4.83203125" style="5" hidden="1" customWidth="1" outlineLevel="1"/>
    <col min="107" max="108" width="4.83203125" style="209" hidden="1" customWidth="1" outlineLevel="1"/>
    <col min="109" max="110" width="4.83203125" style="5" hidden="1" customWidth="1" outlineLevel="1"/>
    <col min="111" max="111" width="12.58203125" style="11" customWidth="1" collapsed="1"/>
    <col min="112" max="142" width="4" style="5" hidden="1" customWidth="1" outlineLevel="1"/>
    <col min="143" max="143" width="13.25" style="11" customWidth="1" collapsed="1"/>
    <col min="144" max="144" width="15.83203125" style="11" customWidth="1"/>
    <col min="145" max="145" width="17.75" style="1" customWidth="1"/>
    <col min="146" max="146" width="19.5" style="1" customWidth="1"/>
    <col min="147" max="147" width="15.33203125" style="12" customWidth="1"/>
    <col min="148" max="148" width="2.33203125" style="12" customWidth="1"/>
    <col min="149" max="149" width="14.83203125" style="1" customWidth="1"/>
    <col min="150" max="150" width="15.25" style="12" customWidth="1"/>
    <col min="151" max="151" width="3.5" style="12" customWidth="1"/>
    <col min="152" max="152" width="15" style="12" hidden="1" customWidth="1" outlineLevel="1"/>
    <col min="153" max="153" width="15.25" style="12" hidden="1" customWidth="1" outlineLevel="1"/>
    <col min="154" max="154" width="5.75" style="12" hidden="1" customWidth="1" outlineLevel="1"/>
    <col min="155" max="155" width="12.25" style="12" hidden="1" customWidth="1" outlineLevel="1"/>
    <col min="156" max="156" width="11.08203125" style="1" hidden="1" customWidth="1" outlineLevel="1"/>
    <col min="157" max="157" width="17.25" style="1" hidden="1" customWidth="1" outlineLevel="1"/>
    <col min="158" max="158" width="17" style="1" hidden="1" customWidth="1" outlineLevel="1"/>
    <col min="159" max="159" width="2.25" style="2" hidden="1" customWidth="1" outlineLevel="1"/>
    <col min="160" max="160" width="2.25" style="1" hidden="1" customWidth="1" outlineLevel="1"/>
    <col min="161" max="161" width="15.33203125" style="1" customWidth="1" collapsed="1"/>
    <col min="162" max="162" width="7.75" style="1" customWidth="1"/>
    <col min="163" max="163" width="13.25" style="3" customWidth="1"/>
    <col min="164" max="164" width="17.83203125" style="1" customWidth="1"/>
    <col min="165" max="165" width="15.33203125" style="1" customWidth="1"/>
    <col min="166" max="166" width="15.75" style="1" hidden="1" customWidth="1"/>
    <col min="167" max="167" width="4.08203125" style="1" customWidth="1"/>
    <col min="168" max="168" width="11" style="1" customWidth="1"/>
    <col min="169" max="169" width="9" style="1"/>
    <col min="170" max="170" width="23.83203125" style="1" customWidth="1"/>
    <col min="171" max="171" width="58.75" style="1" customWidth="1"/>
    <col min="172" max="172" width="19.5" style="1" customWidth="1"/>
    <col min="173" max="173" width="18.08203125" style="1" customWidth="1"/>
    <col min="174" max="174" width="17.25" style="1" customWidth="1"/>
    <col min="175" max="175" width="9" style="1"/>
    <col min="176" max="176" width="12.75" style="1" bestFit="1" customWidth="1"/>
    <col min="177" max="16384" width="9" style="1"/>
  </cols>
  <sheetData>
    <row r="1" spans="1:175" ht="18.75" customHeight="1" thickBot="1" x14ac:dyDescent="0.6">
      <c r="A1" s="1" t="s">
        <v>32</v>
      </c>
      <c r="B1" s="1" t="s">
        <v>33</v>
      </c>
      <c r="C1" s="1" t="s">
        <v>34</v>
      </c>
      <c r="E1" s="1" t="s">
        <v>35</v>
      </c>
      <c r="F1" s="1" t="s">
        <v>36</v>
      </c>
      <c r="G1" s="1" t="s">
        <v>37</v>
      </c>
      <c r="H1" s="203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85" t="s">
        <v>44</v>
      </c>
      <c r="O1" s="11" t="s">
        <v>45</v>
      </c>
      <c r="P1" s="27" t="s">
        <v>46</v>
      </c>
      <c r="Q1" s="27" t="s">
        <v>47</v>
      </c>
      <c r="R1" s="269" t="s">
        <v>48</v>
      </c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 t="s">
        <v>49</v>
      </c>
      <c r="AX1" s="269"/>
      <c r="AY1" s="269"/>
      <c r="AZ1" s="270"/>
      <c r="BA1" s="270"/>
      <c r="BB1" s="269"/>
      <c r="BC1" s="269"/>
      <c r="BD1" s="269"/>
      <c r="BE1" s="269"/>
      <c r="BF1" s="269"/>
      <c r="BG1" s="270"/>
      <c r="BH1" s="270"/>
      <c r="BI1" s="269"/>
      <c r="BJ1" s="269"/>
      <c r="BK1" s="269"/>
      <c r="BL1" s="269"/>
      <c r="BM1" s="269"/>
      <c r="BN1" s="270"/>
      <c r="BO1" s="270"/>
      <c r="BP1" s="269"/>
      <c r="BQ1" s="269"/>
      <c r="BR1" s="269"/>
      <c r="BS1" s="269"/>
      <c r="BT1" s="269"/>
      <c r="BU1" s="270"/>
      <c r="BV1" s="270"/>
      <c r="BW1" s="269"/>
      <c r="BX1" s="269"/>
      <c r="BY1" s="269"/>
      <c r="BZ1" s="269"/>
      <c r="CA1" s="269"/>
      <c r="CB1" s="269"/>
      <c r="CC1" s="3"/>
      <c r="CD1" s="3"/>
      <c r="CE1" s="3"/>
      <c r="CF1" s="3"/>
      <c r="CG1" s="3"/>
      <c r="CH1" s="207"/>
      <c r="CI1" s="207"/>
      <c r="CJ1" s="3"/>
      <c r="CK1" s="3"/>
      <c r="CL1" s="3"/>
      <c r="CM1" s="3"/>
      <c r="CN1" s="3"/>
      <c r="CO1" s="207"/>
      <c r="CP1" s="207"/>
      <c r="CQ1" s="3"/>
      <c r="CR1" s="3"/>
      <c r="CS1" s="3"/>
      <c r="CT1" s="3"/>
      <c r="CU1" s="3"/>
      <c r="CV1" s="207"/>
      <c r="CW1" s="207"/>
      <c r="CX1" s="3"/>
      <c r="CY1" s="3"/>
      <c r="CZ1" s="3"/>
      <c r="DA1" s="3"/>
      <c r="DB1" s="3"/>
      <c r="DC1" s="207"/>
      <c r="DD1" s="207"/>
      <c r="DE1" s="3"/>
      <c r="DF1" s="3"/>
      <c r="DG1" s="11" t="s">
        <v>50</v>
      </c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1" t="s">
        <v>51</v>
      </c>
      <c r="EN1" s="245" t="s">
        <v>791</v>
      </c>
      <c r="EO1" s="246" t="s">
        <v>26</v>
      </c>
      <c r="EP1" s="246" t="s">
        <v>7</v>
      </c>
      <c r="EQ1" s="247" t="s">
        <v>52</v>
      </c>
      <c r="ER1" s="13"/>
      <c r="ES1" s="254" t="s">
        <v>53</v>
      </c>
      <c r="ET1" s="255" t="s">
        <v>54</v>
      </c>
      <c r="EU1" s="13"/>
      <c r="EV1" s="9" t="s">
        <v>55</v>
      </c>
      <c r="EW1" s="9"/>
      <c r="EX1" s="9"/>
      <c r="EY1" s="9"/>
      <c r="FL1" s="14" t="s">
        <v>56</v>
      </c>
      <c r="FM1"/>
      <c r="FN1"/>
      <c r="FO1"/>
      <c r="FP1"/>
      <c r="FQ1"/>
      <c r="FR1"/>
    </row>
    <row r="2" spans="1:175" ht="21" customHeight="1" x14ac:dyDescent="0.55000000000000004">
      <c r="E2" s="6"/>
      <c r="F2" s="7"/>
      <c r="N2" s="186"/>
      <c r="O2" s="194"/>
      <c r="P2" s="102">
        <v>37630035</v>
      </c>
      <c r="Q2" s="102">
        <v>48249760</v>
      </c>
      <c r="R2" s="26">
        <v>1</v>
      </c>
      <c r="S2" s="26">
        <v>2</v>
      </c>
      <c r="T2" s="26">
        <v>3</v>
      </c>
      <c r="U2" s="26">
        <v>4</v>
      </c>
      <c r="V2" s="1">
        <v>5</v>
      </c>
      <c r="W2" s="1">
        <v>6</v>
      </c>
      <c r="X2" s="1">
        <v>7</v>
      </c>
      <c r="Y2" s="1">
        <v>8</v>
      </c>
      <c r="Z2" s="1">
        <v>9</v>
      </c>
      <c r="AA2" s="1">
        <v>10</v>
      </c>
      <c r="AB2" s="1">
        <v>11</v>
      </c>
      <c r="AC2" s="1">
        <v>12</v>
      </c>
      <c r="AD2" s="1">
        <v>13</v>
      </c>
      <c r="AE2" s="1">
        <v>14</v>
      </c>
      <c r="AF2" s="1">
        <v>15</v>
      </c>
      <c r="AG2" s="1">
        <v>16</v>
      </c>
      <c r="AH2" s="1">
        <v>17</v>
      </c>
      <c r="AI2" s="1">
        <v>18</v>
      </c>
      <c r="AJ2" s="1">
        <v>19</v>
      </c>
      <c r="AK2" s="1">
        <v>20</v>
      </c>
      <c r="AL2" s="1">
        <v>21</v>
      </c>
      <c r="AM2" s="1">
        <v>22</v>
      </c>
      <c r="AN2" s="1">
        <v>23</v>
      </c>
      <c r="AO2" s="1">
        <v>24</v>
      </c>
      <c r="AP2" s="1">
        <v>25</v>
      </c>
      <c r="AQ2" s="1">
        <v>26</v>
      </c>
      <c r="AR2" s="1">
        <v>27</v>
      </c>
      <c r="AS2" s="1">
        <v>28</v>
      </c>
      <c r="AT2" s="1">
        <v>29</v>
      </c>
      <c r="AU2" s="1">
        <v>30</v>
      </c>
      <c r="AV2" s="102">
        <v>55159910</v>
      </c>
      <c r="AW2" s="26">
        <v>1</v>
      </c>
      <c r="AX2" s="26">
        <v>2</v>
      </c>
      <c r="AY2" s="26">
        <v>3</v>
      </c>
      <c r="AZ2" s="208">
        <v>4</v>
      </c>
      <c r="BA2" s="2">
        <v>5</v>
      </c>
      <c r="BB2" s="1">
        <v>6</v>
      </c>
      <c r="BC2" s="1">
        <v>7</v>
      </c>
      <c r="BD2" s="1">
        <v>8</v>
      </c>
      <c r="BE2" s="1">
        <v>9</v>
      </c>
      <c r="BF2" s="1">
        <v>10</v>
      </c>
      <c r="BG2" s="2">
        <v>11</v>
      </c>
      <c r="BH2" s="2">
        <v>12</v>
      </c>
      <c r="BI2" s="1">
        <v>13</v>
      </c>
      <c r="BJ2" s="1">
        <v>14</v>
      </c>
      <c r="BK2" s="1">
        <v>15</v>
      </c>
      <c r="BL2" s="1">
        <v>16</v>
      </c>
      <c r="BM2" s="1">
        <v>17</v>
      </c>
      <c r="BN2" s="2">
        <v>18</v>
      </c>
      <c r="BO2" s="2">
        <v>19</v>
      </c>
      <c r="BP2" s="1">
        <v>20</v>
      </c>
      <c r="BQ2" s="1">
        <v>21</v>
      </c>
      <c r="BR2" s="1">
        <v>22</v>
      </c>
      <c r="BS2" s="1">
        <v>23</v>
      </c>
      <c r="BT2" s="1">
        <v>24</v>
      </c>
      <c r="BU2" s="2">
        <v>25</v>
      </c>
      <c r="BV2" s="2">
        <v>26</v>
      </c>
      <c r="BW2" s="1">
        <v>27</v>
      </c>
      <c r="BX2" s="1">
        <v>28</v>
      </c>
      <c r="BY2" s="1">
        <v>29</v>
      </c>
      <c r="BZ2" s="1">
        <v>30</v>
      </c>
      <c r="CA2" s="1">
        <v>31</v>
      </c>
      <c r="CB2" s="102">
        <v>67657800</v>
      </c>
      <c r="CC2" s="7">
        <v>1</v>
      </c>
      <c r="CD2" s="7">
        <v>2</v>
      </c>
      <c r="CE2" s="7">
        <v>3</v>
      </c>
      <c r="CF2" s="7">
        <v>4</v>
      </c>
      <c r="CG2" s="7">
        <v>5</v>
      </c>
      <c r="CH2" s="84">
        <v>6</v>
      </c>
      <c r="CI2" s="84">
        <v>7</v>
      </c>
      <c r="CJ2" s="7">
        <v>8</v>
      </c>
      <c r="CK2" s="7">
        <v>9</v>
      </c>
      <c r="CL2" s="7">
        <v>10</v>
      </c>
      <c r="CM2" s="7">
        <v>11</v>
      </c>
      <c r="CN2" s="7">
        <v>12</v>
      </c>
      <c r="CO2" s="84">
        <v>13</v>
      </c>
      <c r="CP2" s="84">
        <v>14</v>
      </c>
      <c r="CQ2" s="7">
        <v>15</v>
      </c>
      <c r="CR2" s="7">
        <v>16</v>
      </c>
      <c r="CS2" s="7">
        <v>17</v>
      </c>
      <c r="CT2" s="7">
        <v>18</v>
      </c>
      <c r="CU2" s="7">
        <v>19</v>
      </c>
      <c r="CV2" s="84">
        <v>20</v>
      </c>
      <c r="CW2" s="84">
        <v>21</v>
      </c>
      <c r="CX2" s="7">
        <v>22</v>
      </c>
      <c r="CY2" s="7">
        <v>23</v>
      </c>
      <c r="CZ2" s="7">
        <v>24</v>
      </c>
      <c r="DA2" s="7">
        <v>25</v>
      </c>
      <c r="DB2" s="7">
        <v>26</v>
      </c>
      <c r="DC2" s="84">
        <v>27</v>
      </c>
      <c r="DD2" s="84">
        <v>28</v>
      </c>
      <c r="DE2" s="7">
        <v>29</v>
      </c>
      <c r="DF2" s="1">
        <v>30</v>
      </c>
      <c r="DG2" s="102">
        <v>60518100</v>
      </c>
      <c r="DH2" s="7">
        <v>1</v>
      </c>
      <c r="DI2" s="7">
        <v>2</v>
      </c>
      <c r="DJ2" s="7">
        <v>3</v>
      </c>
      <c r="DK2" s="7">
        <v>4</v>
      </c>
      <c r="DL2" s="7">
        <v>5</v>
      </c>
      <c r="DM2" s="7">
        <v>6</v>
      </c>
      <c r="DN2" s="7">
        <v>7</v>
      </c>
      <c r="DO2" s="7">
        <v>8</v>
      </c>
      <c r="DP2" s="7">
        <v>9</v>
      </c>
      <c r="DQ2" s="7">
        <v>10</v>
      </c>
      <c r="DR2" s="7">
        <v>11</v>
      </c>
      <c r="DS2" s="7">
        <v>12</v>
      </c>
      <c r="DT2" s="7">
        <v>13</v>
      </c>
      <c r="DU2" s="7">
        <v>14</v>
      </c>
      <c r="DV2" s="7">
        <v>15</v>
      </c>
      <c r="DW2" s="7">
        <v>16</v>
      </c>
      <c r="DX2" s="7">
        <v>17</v>
      </c>
      <c r="DY2" s="7">
        <v>18</v>
      </c>
      <c r="DZ2" s="7">
        <v>19</v>
      </c>
      <c r="EA2" s="7">
        <v>20</v>
      </c>
      <c r="EB2" s="7">
        <v>21</v>
      </c>
      <c r="EC2" s="7">
        <v>22</v>
      </c>
      <c r="ED2" s="7">
        <v>23</v>
      </c>
      <c r="EE2" s="7">
        <v>24</v>
      </c>
      <c r="EF2" s="7">
        <v>25</v>
      </c>
      <c r="EG2" s="7">
        <v>26</v>
      </c>
      <c r="EH2" s="7">
        <v>27</v>
      </c>
      <c r="EI2" s="7">
        <v>28</v>
      </c>
      <c r="EJ2" s="7">
        <v>29</v>
      </c>
      <c r="EK2" s="1">
        <v>30</v>
      </c>
      <c r="EL2" s="1">
        <v>31</v>
      </c>
      <c r="EM2" s="241">
        <v>58018250</v>
      </c>
      <c r="EN2" s="248" t="s">
        <v>57</v>
      </c>
      <c r="EO2" s="244">
        <f ca="1">FH80</f>
        <v>468513557.43356502</v>
      </c>
      <c r="EP2" s="244">
        <v>478049575.98398</v>
      </c>
      <c r="EQ2" s="249">
        <f ca="1">EO2/EP2</f>
        <v>0.98005223928755347</v>
      </c>
      <c r="ER2" s="13"/>
      <c r="ES2" s="256">
        <v>473819503</v>
      </c>
      <c r="ET2" s="257">
        <f ca="1">EO2/ES2</f>
        <v>0.98880175777307555</v>
      </c>
      <c r="EU2" s="13"/>
      <c r="EV2" s="13"/>
      <c r="EW2" s="13"/>
      <c r="EX2" s="13"/>
      <c r="EY2" s="8" t="s">
        <v>58</v>
      </c>
      <c r="FE2" s="9" t="s">
        <v>59</v>
      </c>
      <c r="FF2" s="9"/>
      <c r="FK2" s="201"/>
      <c r="FL2"/>
      <c r="FM2" s="15" t="s">
        <v>60</v>
      </c>
      <c r="FN2" s="15" t="s">
        <v>61</v>
      </c>
      <c r="FO2" s="15" t="s">
        <v>62</v>
      </c>
      <c r="FP2" s="21"/>
      <c r="FQ2" s="21"/>
      <c r="FR2"/>
    </row>
    <row r="3" spans="1:175" ht="21" customHeight="1" x14ac:dyDescent="0.55000000000000004">
      <c r="E3" s="6"/>
      <c r="F3" s="7"/>
      <c r="N3" s="186"/>
      <c r="O3" s="194"/>
      <c r="P3" s="102"/>
      <c r="Q3" s="102"/>
      <c r="R3" s="3"/>
      <c r="S3" s="3"/>
      <c r="T3" s="3"/>
      <c r="U3" s="3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02"/>
      <c r="AW3" s="3"/>
      <c r="AX3" s="3"/>
      <c r="AY3" s="3"/>
      <c r="AZ3" s="207"/>
      <c r="CB3" s="102"/>
      <c r="CC3" s="7"/>
      <c r="CD3" s="7"/>
      <c r="CE3" s="7"/>
      <c r="CF3" s="7"/>
      <c r="CG3" s="7"/>
      <c r="CH3" s="84"/>
      <c r="CI3" s="84"/>
      <c r="CJ3" s="7"/>
      <c r="CK3" s="7"/>
      <c r="CL3" s="7"/>
      <c r="CM3" s="7"/>
      <c r="CN3" s="7"/>
      <c r="CO3" s="84"/>
      <c r="CP3" s="84"/>
      <c r="CQ3" s="7"/>
      <c r="CR3" s="7"/>
      <c r="CS3" s="7"/>
      <c r="CT3" s="7"/>
      <c r="CU3" s="7"/>
      <c r="CV3" s="84"/>
      <c r="CW3" s="84"/>
      <c r="CX3" s="7"/>
      <c r="CY3" s="7"/>
      <c r="CZ3" s="7"/>
      <c r="DA3" s="7"/>
      <c r="DB3" s="7"/>
      <c r="DC3" s="84"/>
      <c r="DD3" s="84"/>
      <c r="DE3" s="7"/>
      <c r="DF3" s="1"/>
      <c r="DG3" s="102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1"/>
      <c r="EL3" s="1"/>
      <c r="EM3" s="241"/>
      <c r="EN3" s="248" t="s">
        <v>63</v>
      </c>
      <c r="EO3" s="39">
        <f>FH78</f>
        <v>34450540.149999999</v>
      </c>
      <c r="EP3" s="39">
        <f>FI78</f>
        <v>11213804.73398</v>
      </c>
      <c r="EQ3" s="250">
        <f>EO3/EP3</f>
        <v>3.0721544531275984</v>
      </c>
      <c r="ER3" s="13"/>
      <c r="ES3" s="258" t="s">
        <v>64</v>
      </c>
      <c r="ET3" s="259" t="s">
        <v>65</v>
      </c>
      <c r="EU3" s="13"/>
      <c r="EV3" s="13"/>
      <c r="EW3" s="13"/>
      <c r="EX3" s="13"/>
      <c r="EY3" s="8"/>
      <c r="FE3" s="9"/>
      <c r="FF3" s="9"/>
      <c r="FK3" s="201"/>
      <c r="FL3"/>
      <c r="FM3" s="15"/>
      <c r="FN3" s="15"/>
      <c r="FO3" s="15"/>
      <c r="FP3" s="21"/>
      <c r="FQ3" s="21"/>
      <c r="FR3"/>
    </row>
    <row r="4" spans="1:175" ht="21.5" thickBot="1" x14ac:dyDescent="0.6">
      <c r="B4" s="31" t="s">
        <v>66</v>
      </c>
      <c r="E4" s="6"/>
      <c r="F4" s="7"/>
      <c r="N4" s="186"/>
      <c r="O4" s="194">
        <f>SUM(O24:O84)</f>
        <v>138712613.72556502</v>
      </c>
      <c r="P4" s="103">
        <v>30620470.82</v>
      </c>
      <c r="Q4" s="103">
        <f>SUM(Q5:Q78)</f>
        <v>44471500</v>
      </c>
      <c r="R4" s="1" t="s">
        <v>67</v>
      </c>
      <c r="S4" s="1" t="s">
        <v>68</v>
      </c>
      <c r="T4" s="2" t="s">
        <v>69</v>
      </c>
      <c r="U4" s="2" t="s">
        <v>70</v>
      </c>
      <c r="V4" s="1" t="s">
        <v>71</v>
      </c>
      <c r="W4" s="1" t="s">
        <v>72</v>
      </c>
      <c r="X4" s="1" t="s">
        <v>73</v>
      </c>
      <c r="Y4" s="1" t="s">
        <v>74</v>
      </c>
      <c r="Z4" s="1" t="s">
        <v>75</v>
      </c>
      <c r="AA4" s="1" t="s">
        <v>69</v>
      </c>
      <c r="AB4" s="1" t="s">
        <v>70</v>
      </c>
      <c r="AC4" s="1" t="s">
        <v>71</v>
      </c>
      <c r="AD4" s="1" t="s">
        <v>72</v>
      </c>
      <c r="AE4" s="1" t="s">
        <v>73</v>
      </c>
      <c r="AF4" s="1" t="s">
        <v>74</v>
      </c>
      <c r="AG4" s="1" t="s">
        <v>75</v>
      </c>
      <c r="AH4" s="1" t="s">
        <v>69</v>
      </c>
      <c r="AI4" s="1" t="s">
        <v>70</v>
      </c>
      <c r="AJ4" s="1" t="s">
        <v>71</v>
      </c>
      <c r="AK4" s="1" t="s">
        <v>72</v>
      </c>
      <c r="AL4" s="1" t="s">
        <v>73</v>
      </c>
      <c r="AM4" s="1" t="s">
        <v>74</v>
      </c>
      <c r="AN4" s="1" t="s">
        <v>75</v>
      </c>
      <c r="AO4" s="1" t="s">
        <v>69</v>
      </c>
      <c r="AP4" s="1" t="s">
        <v>70</v>
      </c>
      <c r="AQ4" s="1" t="s">
        <v>71</v>
      </c>
      <c r="AR4" s="1" t="s">
        <v>72</v>
      </c>
      <c r="AS4" s="1" t="s">
        <v>73</v>
      </c>
      <c r="AT4" s="1" t="s">
        <v>74</v>
      </c>
      <c r="AU4" s="1" t="s">
        <v>75</v>
      </c>
      <c r="AV4" s="103">
        <f>SUM(AV5:AV78)</f>
        <v>56143702</v>
      </c>
      <c r="AW4" s="1" t="s">
        <v>76</v>
      </c>
      <c r="AX4" s="1" t="s">
        <v>77</v>
      </c>
      <c r="AY4" s="1" t="s">
        <v>71</v>
      </c>
      <c r="AZ4" s="1" t="s">
        <v>72</v>
      </c>
      <c r="BA4" s="1" t="s">
        <v>73</v>
      </c>
      <c r="BB4" s="1" t="s">
        <v>74</v>
      </c>
      <c r="BC4" s="1" t="s">
        <v>75</v>
      </c>
      <c r="BD4" s="1" t="s">
        <v>69</v>
      </c>
      <c r="BE4" s="1" t="s">
        <v>70</v>
      </c>
      <c r="BF4" s="1" t="s">
        <v>71</v>
      </c>
      <c r="BG4" s="1" t="s">
        <v>72</v>
      </c>
      <c r="BH4" s="1" t="s">
        <v>73</v>
      </c>
      <c r="BI4" s="1" t="s">
        <v>74</v>
      </c>
      <c r="BJ4" s="1" t="s">
        <v>75</v>
      </c>
      <c r="BK4" s="1" t="s">
        <v>69</v>
      </c>
      <c r="BL4" s="1" t="s">
        <v>70</v>
      </c>
      <c r="BM4" s="1" t="s">
        <v>71</v>
      </c>
      <c r="BN4" s="1" t="s">
        <v>72</v>
      </c>
      <c r="BO4" s="1" t="s">
        <v>73</v>
      </c>
      <c r="BP4" s="1" t="s">
        <v>74</v>
      </c>
      <c r="BQ4" s="1" t="s">
        <v>75</v>
      </c>
      <c r="BR4" s="1" t="s">
        <v>69</v>
      </c>
      <c r="BS4" s="1" t="s">
        <v>70</v>
      </c>
      <c r="BT4" s="1" t="s">
        <v>71</v>
      </c>
      <c r="BU4" s="1" t="s">
        <v>72</v>
      </c>
      <c r="BV4" s="1" t="s">
        <v>73</v>
      </c>
      <c r="BW4" s="1" t="s">
        <v>74</v>
      </c>
      <c r="BX4" s="1" t="s">
        <v>75</v>
      </c>
      <c r="BY4" s="1" t="s">
        <v>69</v>
      </c>
      <c r="BZ4" s="1" t="s">
        <v>70</v>
      </c>
      <c r="CA4" s="1" t="s">
        <v>71</v>
      </c>
      <c r="CB4" s="103">
        <f>SUM(CB5:CB78)</f>
        <v>51660000</v>
      </c>
      <c r="CC4" s="7" t="s">
        <v>67</v>
      </c>
      <c r="CD4" s="7" t="s">
        <v>68</v>
      </c>
      <c r="CE4" s="7" t="s">
        <v>69</v>
      </c>
      <c r="CF4" s="7" t="s">
        <v>70</v>
      </c>
      <c r="CG4" s="7" t="s">
        <v>71</v>
      </c>
      <c r="CH4" s="84" t="s">
        <v>72</v>
      </c>
      <c r="CI4" s="84" t="s">
        <v>73</v>
      </c>
      <c r="CJ4" s="7" t="s">
        <v>74</v>
      </c>
      <c r="CK4" s="7" t="s">
        <v>75</v>
      </c>
      <c r="CL4" s="7" t="s">
        <v>69</v>
      </c>
      <c r="CM4" s="7" t="s">
        <v>70</v>
      </c>
      <c r="CN4" s="7" t="s">
        <v>71</v>
      </c>
      <c r="CO4" s="84" t="s">
        <v>72</v>
      </c>
      <c r="CP4" s="84" t="s">
        <v>73</v>
      </c>
      <c r="CQ4" s="7" t="s">
        <v>74</v>
      </c>
      <c r="CR4" s="7" t="s">
        <v>75</v>
      </c>
      <c r="CS4" s="7" t="s">
        <v>69</v>
      </c>
      <c r="CT4" s="7" t="s">
        <v>70</v>
      </c>
      <c r="CU4" s="7" t="s">
        <v>71</v>
      </c>
      <c r="CV4" s="84" t="s">
        <v>72</v>
      </c>
      <c r="CW4" s="84" t="s">
        <v>73</v>
      </c>
      <c r="CX4" s="7" t="s">
        <v>74</v>
      </c>
      <c r="CY4" s="7" t="s">
        <v>75</v>
      </c>
      <c r="CZ4" s="7" t="s">
        <v>69</v>
      </c>
      <c r="DA4" s="7" t="s">
        <v>70</v>
      </c>
      <c r="DB4" s="7" t="s">
        <v>71</v>
      </c>
      <c r="DC4" s="84" t="s">
        <v>72</v>
      </c>
      <c r="DD4" s="84" t="s">
        <v>73</v>
      </c>
      <c r="DE4" s="7" t="s">
        <v>74</v>
      </c>
      <c r="DF4" s="7" t="s">
        <v>75</v>
      </c>
      <c r="DG4" s="103">
        <f>SUM(DG5:DG78)</f>
        <v>55145000</v>
      </c>
      <c r="DH4" s="7" t="s">
        <v>67</v>
      </c>
      <c r="DI4" s="7" t="s">
        <v>68</v>
      </c>
      <c r="DJ4" s="7" t="s">
        <v>69</v>
      </c>
      <c r="DK4" s="7" t="s">
        <v>70</v>
      </c>
      <c r="DL4" s="7" t="s">
        <v>71</v>
      </c>
      <c r="DM4" s="7" t="s">
        <v>72</v>
      </c>
      <c r="DN4" s="7" t="s">
        <v>73</v>
      </c>
      <c r="DO4" s="7" t="s">
        <v>74</v>
      </c>
      <c r="DP4" s="7" t="s">
        <v>75</v>
      </c>
      <c r="DQ4" s="7" t="s">
        <v>69</v>
      </c>
      <c r="DR4" s="7" t="s">
        <v>70</v>
      </c>
      <c r="DS4" s="7" t="s">
        <v>71</v>
      </c>
      <c r="DT4" s="7" t="s">
        <v>72</v>
      </c>
      <c r="DU4" s="7" t="s">
        <v>73</v>
      </c>
      <c r="DV4" s="7" t="s">
        <v>74</v>
      </c>
      <c r="DW4" s="7" t="s">
        <v>75</v>
      </c>
      <c r="DX4" s="7" t="s">
        <v>69</v>
      </c>
      <c r="DY4" s="7" t="s">
        <v>70</v>
      </c>
      <c r="DZ4" s="7" t="s">
        <v>71</v>
      </c>
      <c r="EA4" s="7" t="s">
        <v>72</v>
      </c>
      <c r="EB4" s="7" t="s">
        <v>73</v>
      </c>
      <c r="EC4" s="7" t="s">
        <v>74</v>
      </c>
      <c r="ED4" s="7" t="s">
        <v>75</v>
      </c>
      <c r="EE4" s="7" t="s">
        <v>69</v>
      </c>
      <c r="EF4" s="7" t="s">
        <v>70</v>
      </c>
      <c r="EG4" s="7" t="s">
        <v>71</v>
      </c>
      <c r="EH4" s="7" t="s">
        <v>72</v>
      </c>
      <c r="EI4" s="7" t="s">
        <v>73</v>
      </c>
      <c r="EJ4" s="7" t="s">
        <v>74</v>
      </c>
      <c r="EK4" s="7" t="s">
        <v>75</v>
      </c>
      <c r="EL4" s="7"/>
      <c r="EM4" s="242">
        <f>SUM(EM5:EM78)</f>
        <v>57960000</v>
      </c>
      <c r="EN4" s="251" t="s">
        <v>78</v>
      </c>
      <c r="EO4" s="252">
        <f>SUM(EO5:EO91)</f>
        <v>301970403.55799997</v>
      </c>
      <c r="EP4" s="252">
        <v>323950672.81999999</v>
      </c>
      <c r="EQ4" s="253">
        <f>EO4/EP4</f>
        <v>0.93214933288867363</v>
      </c>
      <c r="ER4" s="13"/>
      <c r="ES4" s="260">
        <v>400000000</v>
      </c>
      <c r="ET4" s="261">
        <f ca="1">EO2/ES4</f>
        <v>1.1712838935839125</v>
      </c>
      <c r="EU4" s="13"/>
      <c r="EV4" s="228" t="s">
        <v>79</v>
      </c>
      <c r="EW4" s="229" t="s">
        <v>7</v>
      </c>
      <c r="EY4" s="9" t="s">
        <v>80</v>
      </c>
      <c r="EZ4" s="9" t="s">
        <v>81</v>
      </c>
      <c r="FE4" s="9" t="s">
        <v>82</v>
      </c>
      <c r="FF4" s="196"/>
      <c r="FH4" s="4" t="s">
        <v>83</v>
      </c>
      <c r="FK4" s="201"/>
      <c r="FL4"/>
      <c r="FM4" s="93" t="s">
        <v>84</v>
      </c>
      <c r="FN4" s="93" t="s">
        <v>85</v>
      </c>
      <c r="FO4" s="16" t="s">
        <v>86</v>
      </c>
      <c r="FP4" s="14"/>
      <c r="FQ4" s="14"/>
      <c r="FR4"/>
    </row>
    <row r="5" spans="1:175" ht="21" customHeight="1" x14ac:dyDescent="0.55000000000000004">
      <c r="A5" s="32" t="s">
        <v>79</v>
      </c>
      <c r="B5" s="31" t="s">
        <v>87</v>
      </c>
      <c r="C5" s="1" t="s">
        <v>88</v>
      </c>
      <c r="D5" s="1" t="s">
        <v>89</v>
      </c>
      <c r="E5" s="77" t="s">
        <v>90</v>
      </c>
      <c r="F5" s="80" t="s">
        <v>91</v>
      </c>
      <c r="G5" s="74" t="s">
        <v>9</v>
      </c>
      <c r="H5" s="202">
        <v>0.56999999999999995</v>
      </c>
      <c r="I5" s="43"/>
      <c r="J5" s="43"/>
      <c r="K5" s="43"/>
      <c r="L5" s="43"/>
      <c r="M5" s="43"/>
      <c r="N5" s="184"/>
      <c r="O5" s="97"/>
      <c r="P5" s="82">
        <v>1791049.0400000003</v>
      </c>
      <c r="Q5" s="82">
        <v>1980000</v>
      </c>
      <c r="R5" s="79"/>
      <c r="S5" s="79"/>
      <c r="T5" s="79"/>
      <c r="U5" s="79"/>
      <c r="V5" s="79"/>
      <c r="W5" s="74"/>
      <c r="X5" s="74"/>
      <c r="Y5" s="43"/>
      <c r="Z5" s="43"/>
      <c r="AA5" s="43"/>
      <c r="AB5" s="43"/>
      <c r="AC5" s="43"/>
      <c r="AD5" s="74"/>
      <c r="AE5" s="74"/>
      <c r="AF5" s="43"/>
      <c r="AG5" s="43"/>
      <c r="AH5" s="43"/>
      <c r="AI5" s="43"/>
      <c r="AJ5" s="43"/>
      <c r="AK5" s="74"/>
      <c r="AL5" s="74"/>
      <c r="AM5" s="43"/>
      <c r="AN5" s="43"/>
      <c r="AO5" s="43"/>
      <c r="AP5" s="43"/>
      <c r="AQ5" s="43"/>
      <c r="AR5" s="74"/>
      <c r="AS5" s="74"/>
      <c r="AT5" s="43"/>
      <c r="AU5" s="43"/>
      <c r="AV5" s="82">
        <v>1700000</v>
      </c>
      <c r="AW5" s="43"/>
      <c r="AX5" s="43"/>
      <c r="AY5" s="43"/>
      <c r="AZ5" s="74"/>
      <c r="BA5" s="74"/>
      <c r="BB5" s="43"/>
      <c r="BC5" s="43"/>
      <c r="BD5" s="43"/>
      <c r="BE5" s="43"/>
      <c r="BF5" s="43"/>
      <c r="BG5" s="74"/>
      <c r="BH5" s="74"/>
      <c r="BI5" s="43"/>
      <c r="BJ5" s="43"/>
      <c r="BK5" s="43"/>
      <c r="BL5" s="43"/>
      <c r="BM5" s="43"/>
      <c r="BN5" s="74"/>
      <c r="BO5" s="74"/>
      <c r="BP5" s="43"/>
      <c r="BQ5" s="43"/>
      <c r="BR5" s="43"/>
      <c r="BS5" s="43"/>
      <c r="BT5" s="43"/>
      <c r="BU5" s="74"/>
      <c r="BV5" s="74"/>
      <c r="BW5" s="43"/>
      <c r="BX5" s="43"/>
      <c r="BY5" s="43"/>
      <c r="BZ5" s="43"/>
      <c r="CA5" s="43"/>
      <c r="CB5" s="96">
        <v>1700000</v>
      </c>
      <c r="CC5" s="79"/>
      <c r="CD5" s="79"/>
      <c r="CE5" s="79"/>
      <c r="CF5" s="79"/>
      <c r="CG5" s="79"/>
      <c r="CH5" s="80"/>
      <c r="CI5" s="80"/>
      <c r="CJ5" s="79"/>
      <c r="CK5" s="79"/>
      <c r="CL5" s="79"/>
      <c r="CM5" s="79"/>
      <c r="CN5" s="79"/>
      <c r="CO5" s="80"/>
      <c r="CP5" s="80"/>
      <c r="CQ5" s="79"/>
      <c r="CR5" s="79"/>
      <c r="CS5" s="79"/>
      <c r="CT5" s="79"/>
      <c r="CU5" s="79"/>
      <c r="CV5" s="80"/>
      <c r="CW5" s="80"/>
      <c r="CX5" s="79"/>
      <c r="CY5" s="79"/>
      <c r="CZ5" s="79"/>
      <c r="DA5" s="79"/>
      <c r="DB5" s="79"/>
      <c r="DC5" s="80"/>
      <c r="DD5" s="80"/>
      <c r="DE5" s="79"/>
      <c r="DF5" s="79"/>
      <c r="DG5" s="96">
        <v>0</v>
      </c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96">
        <v>0</v>
      </c>
      <c r="EO5" s="95">
        <f t="shared" ref="EO5:EO25" si="0">P5+Q5+AV5+CB5+DG5+EM5</f>
        <v>7171049.04</v>
      </c>
      <c r="EP5" s="70">
        <v>7640000</v>
      </c>
      <c r="EQ5" s="13">
        <f>EO5-EP5</f>
        <v>-468950.95999999996</v>
      </c>
      <c r="ER5" s="13"/>
      <c r="ET5" s="1"/>
      <c r="EU5" s="13"/>
      <c r="EV5" s="13">
        <f>SUM(EO5:EO27)</f>
        <v>96617701.420000002</v>
      </c>
      <c r="EW5" s="13">
        <f>SUM(EP5:EP27)</f>
        <v>97520000</v>
      </c>
      <c r="EX5" s="13"/>
      <c r="EY5" s="35">
        <f>EV5/EW5</f>
        <v>0.99074755352748156</v>
      </c>
      <c r="EZ5" s="18" t="s">
        <v>37</v>
      </c>
      <c r="FA5" s="18" t="s">
        <v>92</v>
      </c>
      <c r="FB5" s="18" t="s">
        <v>93</v>
      </c>
      <c r="FE5" s="9" t="s">
        <v>94</v>
      </c>
      <c r="FF5" s="35">
        <f>FH11/FI11</f>
        <v>0.96679621932202464</v>
      </c>
      <c r="FG5" s="67" t="s">
        <v>37</v>
      </c>
      <c r="FH5" s="67" t="s">
        <v>92</v>
      </c>
      <c r="FI5" s="67" t="s">
        <v>95</v>
      </c>
      <c r="FJ5" s="67" t="s">
        <v>96</v>
      </c>
      <c r="FK5" s="201"/>
      <c r="FL5"/>
      <c r="FM5" s="93" t="s">
        <v>97</v>
      </c>
      <c r="FN5" s="94">
        <v>0.5</v>
      </c>
      <c r="FO5" s="16" t="s">
        <v>98</v>
      </c>
      <c r="FP5" s="14"/>
      <c r="FQ5" s="14"/>
      <c r="FR5"/>
    </row>
    <row r="6" spans="1:175" ht="21" customHeight="1" x14ac:dyDescent="0.55000000000000004">
      <c r="A6" s="32" t="s">
        <v>79</v>
      </c>
      <c r="B6" s="1" t="s">
        <v>99</v>
      </c>
      <c r="C6" s="1" t="s">
        <v>100</v>
      </c>
      <c r="D6" s="1" t="s">
        <v>89</v>
      </c>
      <c r="E6" s="77" t="s">
        <v>101</v>
      </c>
      <c r="F6" s="80" t="s">
        <v>102</v>
      </c>
      <c r="G6" s="74" t="s">
        <v>9</v>
      </c>
      <c r="H6" s="202">
        <v>0.56999999999999995</v>
      </c>
      <c r="I6" s="43"/>
      <c r="J6" s="43"/>
      <c r="K6" s="43"/>
      <c r="L6" s="43"/>
      <c r="M6" s="43"/>
      <c r="N6" s="184"/>
      <c r="O6" s="97"/>
      <c r="P6" s="82">
        <v>750000</v>
      </c>
      <c r="Q6" s="82">
        <v>750000</v>
      </c>
      <c r="R6" s="79"/>
      <c r="S6" s="79"/>
      <c r="T6" s="79"/>
      <c r="U6" s="79"/>
      <c r="V6" s="79"/>
      <c r="W6" s="74"/>
      <c r="X6" s="74"/>
      <c r="Y6" s="43"/>
      <c r="Z6" s="43"/>
      <c r="AA6" s="43"/>
      <c r="AB6" s="43"/>
      <c r="AC6" s="43"/>
      <c r="AD6" s="74"/>
      <c r="AE6" s="74"/>
      <c r="AF6" s="43"/>
      <c r="AG6" s="43"/>
      <c r="AH6" s="43"/>
      <c r="AI6" s="43"/>
      <c r="AJ6" s="43"/>
      <c r="AK6" s="74"/>
      <c r="AL6" s="74"/>
      <c r="AM6" s="43"/>
      <c r="AN6" s="43"/>
      <c r="AO6" s="43"/>
      <c r="AP6" s="43"/>
      <c r="AQ6" s="43"/>
      <c r="AR6" s="74"/>
      <c r="AS6" s="74"/>
      <c r="AT6" s="43"/>
      <c r="AU6" s="43"/>
      <c r="AV6" s="82">
        <v>750000</v>
      </c>
      <c r="AW6" s="43"/>
      <c r="AX6" s="43"/>
      <c r="AY6" s="43"/>
      <c r="AZ6" s="74"/>
      <c r="BA6" s="74"/>
      <c r="BB6" s="43"/>
      <c r="BC6" s="43"/>
      <c r="BD6" s="43"/>
      <c r="BE6" s="43"/>
      <c r="BF6" s="43"/>
      <c r="BG6" s="74"/>
      <c r="BH6" s="74"/>
      <c r="BI6" s="43"/>
      <c r="BJ6" s="43"/>
      <c r="BK6" s="43"/>
      <c r="BL6" s="43"/>
      <c r="BM6" s="43"/>
      <c r="BN6" s="74"/>
      <c r="BO6" s="74"/>
      <c r="BP6" s="43"/>
      <c r="BQ6" s="43"/>
      <c r="BR6" s="43"/>
      <c r="BS6" s="43"/>
      <c r="BT6" s="43"/>
      <c r="BU6" s="74"/>
      <c r="BV6" s="74"/>
      <c r="BW6" s="43"/>
      <c r="BX6" s="43"/>
      <c r="BY6" s="43"/>
      <c r="BZ6" s="43"/>
      <c r="CA6" s="43"/>
      <c r="CB6" s="96">
        <v>750000</v>
      </c>
      <c r="CC6" s="79"/>
      <c r="CD6" s="79"/>
      <c r="CE6" s="79"/>
      <c r="CF6" s="79"/>
      <c r="CG6" s="79"/>
      <c r="CH6" s="80"/>
      <c r="CI6" s="80"/>
      <c r="CJ6" s="79"/>
      <c r="CK6" s="79"/>
      <c r="CL6" s="79"/>
      <c r="CM6" s="79"/>
      <c r="CN6" s="79"/>
      <c r="CO6" s="80"/>
      <c r="CP6" s="80"/>
      <c r="CQ6" s="79"/>
      <c r="CR6" s="79"/>
      <c r="CS6" s="79"/>
      <c r="CT6" s="79"/>
      <c r="CU6" s="79"/>
      <c r="CV6" s="80"/>
      <c r="CW6" s="80"/>
      <c r="CX6" s="79"/>
      <c r="CY6" s="79"/>
      <c r="CZ6" s="79"/>
      <c r="DA6" s="79"/>
      <c r="DB6" s="79"/>
      <c r="DC6" s="80"/>
      <c r="DD6" s="80"/>
      <c r="DE6" s="79"/>
      <c r="DF6" s="79"/>
      <c r="DG6" s="96">
        <v>750000</v>
      </c>
      <c r="DH6" s="97"/>
      <c r="DI6" s="97"/>
      <c r="DJ6" s="97"/>
      <c r="DK6" s="97"/>
      <c r="DL6" s="97"/>
      <c r="DM6" s="97"/>
      <c r="DN6" s="97"/>
      <c r="DO6" s="97"/>
      <c r="DP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F6" s="97"/>
      <c r="EG6" s="97"/>
      <c r="EH6" s="97"/>
      <c r="EI6" s="97"/>
      <c r="EJ6" s="97"/>
      <c r="EK6" s="97"/>
      <c r="EL6" s="97"/>
      <c r="EM6" s="96">
        <v>750000</v>
      </c>
      <c r="EO6" s="95">
        <f t="shared" si="0"/>
        <v>4500000</v>
      </c>
      <c r="EP6" s="70">
        <v>4500000</v>
      </c>
      <c r="EQ6" s="13">
        <f t="shared" ref="EQ6:EQ25" si="1">EO6-EP6</f>
        <v>0</v>
      </c>
      <c r="ER6" s="13"/>
      <c r="ET6" s="1"/>
      <c r="EU6" s="13"/>
      <c r="EV6" s="13"/>
      <c r="EW6" s="13">
        <f>EV5-EW5</f>
        <v>-902298.57999999821</v>
      </c>
      <c r="EX6" s="13"/>
      <c r="EY6" s="8"/>
      <c r="EZ6" s="19" t="s">
        <v>103</v>
      </c>
      <c r="FA6" s="20">
        <f>SUMIF($G$5:$G$27,"A",$EO$5:$EO$27)</f>
        <v>96617701.420000002</v>
      </c>
      <c r="FB6" s="111"/>
      <c r="FE6" s="9" t="s">
        <v>65</v>
      </c>
      <c r="FF6" s="35">
        <f>FH15/FJ15</f>
        <v>1.6392021973584907</v>
      </c>
      <c r="FG6" s="19" t="s">
        <v>103</v>
      </c>
      <c r="FH6" s="20">
        <f>SUMIF($G$5:$G$27,"A",$EO$5:$EO$27)+O26</f>
        <v>142798732.92000002</v>
      </c>
      <c r="FI6" s="111"/>
      <c r="FJ6" s="111"/>
      <c r="FK6" s="201"/>
      <c r="FL6"/>
      <c r="FM6" s="93" t="s">
        <v>104</v>
      </c>
      <c r="FN6" s="94">
        <v>0.8</v>
      </c>
      <c r="FO6" s="16" t="s">
        <v>105</v>
      </c>
      <c r="FP6" s="14"/>
      <c r="FQ6" s="14"/>
      <c r="FR6"/>
    </row>
    <row r="7" spans="1:175" ht="21" customHeight="1" x14ac:dyDescent="0.55000000000000004">
      <c r="A7" s="32" t="s">
        <v>79</v>
      </c>
      <c r="B7" s="31" t="s">
        <v>106</v>
      </c>
      <c r="C7" s="1" t="s">
        <v>107</v>
      </c>
      <c r="D7" s="1" t="s">
        <v>108</v>
      </c>
      <c r="E7" s="77" t="s">
        <v>90</v>
      </c>
      <c r="F7" s="80" t="s">
        <v>109</v>
      </c>
      <c r="G7" s="74" t="s">
        <v>9</v>
      </c>
      <c r="H7" s="202">
        <v>0.46</v>
      </c>
      <c r="I7" s="43"/>
      <c r="J7" s="43"/>
      <c r="K7" s="43"/>
      <c r="L7" s="43"/>
      <c r="M7" s="43"/>
      <c r="N7" s="184"/>
      <c r="O7" s="97"/>
      <c r="P7" s="82">
        <v>500000</v>
      </c>
      <c r="Q7" s="82">
        <v>500000</v>
      </c>
      <c r="R7" s="79"/>
      <c r="S7" s="79"/>
      <c r="T7" s="79"/>
      <c r="U7" s="79"/>
      <c r="V7" s="79"/>
      <c r="W7" s="74"/>
      <c r="X7" s="74"/>
      <c r="Y7" s="43"/>
      <c r="Z7" s="43"/>
      <c r="AA7" s="43"/>
      <c r="AB7" s="43"/>
      <c r="AC7" s="43"/>
      <c r="AD7" s="74"/>
      <c r="AE7" s="74"/>
      <c r="AF7" s="43"/>
      <c r="AG7" s="43"/>
      <c r="AH7" s="43"/>
      <c r="AI7" s="43"/>
      <c r="AJ7" s="43"/>
      <c r="AK7" s="74"/>
      <c r="AL7" s="74"/>
      <c r="AM7" s="43"/>
      <c r="AN7" s="43"/>
      <c r="AO7" s="43"/>
      <c r="AP7" s="43"/>
      <c r="AQ7" s="43"/>
      <c r="AR7" s="74"/>
      <c r="AS7" s="74"/>
      <c r="AT7" s="43"/>
      <c r="AU7" s="43"/>
      <c r="AV7" s="82">
        <v>500000</v>
      </c>
      <c r="AW7" s="43"/>
      <c r="AX7" s="43"/>
      <c r="AY7" s="43"/>
      <c r="AZ7" s="74"/>
      <c r="BA7" s="74"/>
      <c r="BB7" s="43"/>
      <c r="BC7" s="43"/>
      <c r="BD7" s="43"/>
      <c r="BE7" s="43"/>
      <c r="BF7" s="43"/>
      <c r="BG7" s="74"/>
      <c r="BH7" s="74"/>
      <c r="BI7" s="43"/>
      <c r="BJ7" s="43"/>
      <c r="BK7" s="43"/>
      <c r="BL7" s="43"/>
      <c r="BM7" s="43"/>
      <c r="BN7" s="74"/>
      <c r="BO7" s="74"/>
      <c r="BP7" s="43"/>
      <c r="BQ7" s="43"/>
      <c r="BR7" s="43"/>
      <c r="BS7" s="43"/>
      <c r="BT7" s="43"/>
      <c r="BU7" s="74"/>
      <c r="BV7" s="74"/>
      <c r="BW7" s="43"/>
      <c r="BX7" s="43"/>
      <c r="BY7" s="43"/>
      <c r="BZ7" s="43"/>
      <c r="CA7" s="43"/>
      <c r="CB7" s="96">
        <v>500000</v>
      </c>
      <c r="CC7" s="79"/>
      <c r="CD7" s="79"/>
      <c r="CE7" s="79"/>
      <c r="CF7" s="79"/>
      <c r="CG7" s="79"/>
      <c r="CH7" s="80"/>
      <c r="CI7" s="80"/>
      <c r="CJ7" s="79"/>
      <c r="CK7" s="79"/>
      <c r="CL7" s="79"/>
      <c r="CM7" s="79"/>
      <c r="CN7" s="79"/>
      <c r="CO7" s="80"/>
      <c r="CP7" s="80"/>
      <c r="CQ7" s="79"/>
      <c r="CR7" s="79"/>
      <c r="CS7" s="79"/>
      <c r="CT7" s="79"/>
      <c r="CU7" s="79"/>
      <c r="CV7" s="80"/>
      <c r="CW7" s="80"/>
      <c r="CX7" s="79"/>
      <c r="CY7" s="79"/>
      <c r="CZ7" s="79"/>
      <c r="DA7" s="79"/>
      <c r="DB7" s="79"/>
      <c r="DC7" s="80"/>
      <c r="DD7" s="80"/>
      <c r="DE7" s="79"/>
      <c r="DF7" s="79"/>
      <c r="DG7" s="96">
        <v>500000</v>
      </c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96">
        <v>500000</v>
      </c>
      <c r="EO7" s="95">
        <f t="shared" si="0"/>
        <v>3000000</v>
      </c>
      <c r="EP7" s="70">
        <v>3000000</v>
      </c>
      <c r="EQ7" s="13">
        <f t="shared" si="1"/>
        <v>0</v>
      </c>
      <c r="ER7" s="13"/>
      <c r="ES7" s="65"/>
      <c r="ET7" s="13"/>
      <c r="EU7" s="13"/>
      <c r="EV7" s="13"/>
      <c r="EW7" s="13"/>
      <c r="EX7" s="13"/>
      <c r="EY7" s="35"/>
      <c r="EZ7" s="19" t="s">
        <v>110</v>
      </c>
      <c r="FA7" s="20">
        <f>SUMIF($G$5:$G$27,"B",$EO$5:$EO$27)</f>
        <v>0</v>
      </c>
      <c r="FB7" s="111"/>
      <c r="FE7" s="196"/>
      <c r="FF7" s="196"/>
      <c r="FG7" s="19" t="s">
        <v>110</v>
      </c>
      <c r="FH7" s="20">
        <f>SUMIF($G$5:$G$27,"B",$EO$5:$EO$27)</f>
        <v>0</v>
      </c>
      <c r="FI7" s="111"/>
      <c r="FJ7" s="111"/>
      <c r="FK7" s="201"/>
      <c r="FL7"/>
      <c r="FM7" s="93" t="s">
        <v>110</v>
      </c>
      <c r="FN7" s="94">
        <v>0.99</v>
      </c>
      <c r="FO7" s="16" t="s">
        <v>111</v>
      </c>
      <c r="FP7" s="14"/>
      <c r="FQ7" s="14"/>
    </row>
    <row r="8" spans="1:175" ht="21" customHeight="1" x14ac:dyDescent="0.55000000000000004">
      <c r="A8" s="32" t="s">
        <v>79</v>
      </c>
      <c r="B8" s="1" t="s">
        <v>112</v>
      </c>
      <c r="C8" s="1" t="s">
        <v>113</v>
      </c>
      <c r="D8" s="1" t="s">
        <v>89</v>
      </c>
      <c r="E8" s="77" t="s">
        <v>90</v>
      </c>
      <c r="F8" s="80" t="s">
        <v>114</v>
      </c>
      <c r="G8" s="74" t="s">
        <v>9</v>
      </c>
      <c r="H8" s="202">
        <v>0.25</v>
      </c>
      <c r="I8" s="43"/>
      <c r="J8" s="43"/>
      <c r="K8" s="43"/>
      <c r="L8" s="43"/>
      <c r="M8" s="43"/>
      <c r="N8" s="184"/>
      <c r="O8" s="97"/>
      <c r="P8" s="82">
        <v>2206652.3800000004</v>
      </c>
      <c r="Q8" s="82">
        <v>0</v>
      </c>
      <c r="R8" s="79"/>
      <c r="S8" s="79"/>
      <c r="T8" s="79"/>
      <c r="U8" s="79"/>
      <c r="V8" s="79"/>
      <c r="W8" s="74"/>
      <c r="X8" s="74"/>
      <c r="Y8" s="43"/>
      <c r="Z8" s="43"/>
      <c r="AA8" s="43"/>
      <c r="AB8" s="43"/>
      <c r="AC8" s="43"/>
      <c r="AD8" s="74"/>
      <c r="AE8" s="74"/>
      <c r="AF8" s="43"/>
      <c r="AG8" s="43"/>
      <c r="AH8" s="43"/>
      <c r="AI8" s="43"/>
      <c r="AJ8" s="43"/>
      <c r="AK8" s="74"/>
      <c r="AL8" s="74"/>
      <c r="AM8" s="43"/>
      <c r="AN8" s="43"/>
      <c r="AO8" s="43"/>
      <c r="AP8" s="43"/>
      <c r="AQ8" s="43"/>
      <c r="AR8" s="74"/>
      <c r="AS8" s="74"/>
      <c r="AT8" s="43"/>
      <c r="AU8" s="43"/>
      <c r="AV8" s="82">
        <v>0</v>
      </c>
      <c r="AW8" s="43"/>
      <c r="AX8" s="43"/>
      <c r="AY8" s="43"/>
      <c r="AZ8" s="74"/>
      <c r="BA8" s="74"/>
      <c r="BB8" s="43"/>
      <c r="BC8" s="43"/>
      <c r="BD8" s="43"/>
      <c r="BE8" s="43"/>
      <c r="BF8" s="43"/>
      <c r="BG8" s="74"/>
      <c r="BH8" s="74"/>
      <c r="BI8" s="43"/>
      <c r="BJ8" s="43"/>
      <c r="BK8" s="43"/>
      <c r="BL8" s="43"/>
      <c r="BM8" s="43"/>
      <c r="BN8" s="74"/>
      <c r="BO8" s="74"/>
      <c r="BP8" s="43"/>
      <c r="BQ8" s="43"/>
      <c r="BR8" s="43"/>
      <c r="BS8" s="43"/>
      <c r="BT8" s="43"/>
      <c r="BU8" s="74"/>
      <c r="BV8" s="74"/>
      <c r="BW8" s="43"/>
      <c r="BX8" s="43"/>
      <c r="BY8" s="43"/>
      <c r="BZ8" s="43"/>
      <c r="CA8" s="43"/>
      <c r="CB8" s="96">
        <v>0</v>
      </c>
      <c r="CC8" s="79"/>
      <c r="CD8" s="79"/>
      <c r="CE8" s="79"/>
      <c r="CF8" s="79"/>
      <c r="CG8" s="79"/>
      <c r="CH8" s="80"/>
      <c r="CI8" s="80"/>
      <c r="CJ8" s="79"/>
      <c r="CK8" s="79"/>
      <c r="CL8" s="79"/>
      <c r="CM8" s="79"/>
      <c r="CN8" s="79"/>
      <c r="CO8" s="80"/>
      <c r="CP8" s="80"/>
      <c r="CQ8" s="79"/>
      <c r="CR8" s="79"/>
      <c r="CS8" s="79"/>
      <c r="CT8" s="79"/>
      <c r="CU8" s="79"/>
      <c r="CV8" s="80"/>
      <c r="CW8" s="80"/>
      <c r="CX8" s="79"/>
      <c r="CY8" s="79"/>
      <c r="CZ8" s="79"/>
      <c r="DA8" s="79"/>
      <c r="DB8" s="79"/>
      <c r="DC8" s="80"/>
      <c r="DD8" s="80"/>
      <c r="DE8" s="79"/>
      <c r="DF8" s="79"/>
      <c r="DG8" s="96">
        <v>0</v>
      </c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96">
        <v>0</v>
      </c>
      <c r="EO8" s="95">
        <f t="shared" si="0"/>
        <v>2206652.3800000004</v>
      </c>
      <c r="EP8" s="70">
        <v>2360000</v>
      </c>
      <c r="EQ8" s="13">
        <f t="shared" si="1"/>
        <v>-153347.61999999965</v>
      </c>
      <c r="ER8" s="13"/>
      <c r="ES8" s="65"/>
      <c r="ET8" s="13"/>
      <c r="EU8" s="13"/>
      <c r="EV8" s="13"/>
      <c r="EW8" s="13"/>
      <c r="EX8" s="13"/>
      <c r="EY8" s="8"/>
      <c r="EZ8" s="19" t="s">
        <v>104</v>
      </c>
      <c r="FA8" s="20">
        <f>SUMIF($G$5:$G$27,"C",$EO$5:$EO$27)</f>
        <v>0</v>
      </c>
      <c r="FB8" s="111"/>
      <c r="FE8" s="196"/>
      <c r="FF8" s="196"/>
      <c r="FG8" s="19" t="s">
        <v>104</v>
      </c>
      <c r="FH8" s="20">
        <f>SUMIF($G$5:$G$27,"C",$EO$5:$EO$27)</f>
        <v>0</v>
      </c>
      <c r="FI8" s="111"/>
      <c r="FJ8" s="111"/>
      <c r="FK8" s="201"/>
      <c r="FL8"/>
      <c r="FM8" s="93" t="s">
        <v>103</v>
      </c>
      <c r="FN8" s="94">
        <v>1</v>
      </c>
      <c r="FO8" s="16" t="s">
        <v>115</v>
      </c>
      <c r="FP8" s="14"/>
      <c r="FQ8" s="14"/>
      <c r="FR8"/>
    </row>
    <row r="9" spans="1:175" ht="21" customHeight="1" x14ac:dyDescent="0.55000000000000004">
      <c r="A9" s="32" t="s">
        <v>79</v>
      </c>
      <c r="B9" s="1" t="s">
        <v>112</v>
      </c>
      <c r="C9" s="1" t="s">
        <v>116</v>
      </c>
      <c r="D9" s="1" t="s">
        <v>89</v>
      </c>
      <c r="E9" s="99" t="s">
        <v>90</v>
      </c>
      <c r="F9" s="80" t="s">
        <v>117</v>
      </c>
      <c r="G9" s="74" t="s">
        <v>9</v>
      </c>
      <c r="H9" s="202">
        <v>0.25</v>
      </c>
      <c r="I9" s="43"/>
      <c r="J9" s="43"/>
      <c r="K9" s="43"/>
      <c r="L9" s="43"/>
      <c r="M9" s="43"/>
      <c r="N9" s="184"/>
      <c r="O9" s="97"/>
      <c r="P9" s="82">
        <v>0</v>
      </c>
      <c r="Q9" s="82">
        <v>8640000</v>
      </c>
      <c r="R9" s="79"/>
      <c r="S9" s="79"/>
      <c r="T9" s="79"/>
      <c r="U9" s="79"/>
      <c r="V9" s="79"/>
      <c r="W9" s="74"/>
      <c r="X9" s="74"/>
      <c r="Y9" s="43"/>
      <c r="Z9" s="43"/>
      <c r="AA9" s="43"/>
      <c r="AB9" s="43"/>
      <c r="AC9" s="43"/>
      <c r="AD9" s="74"/>
      <c r="AE9" s="74"/>
      <c r="AF9" s="43"/>
      <c r="AG9" s="43"/>
      <c r="AH9" s="43"/>
      <c r="AI9" s="43"/>
      <c r="AJ9" s="43"/>
      <c r="AK9" s="74"/>
      <c r="AL9" s="74"/>
      <c r="AM9" s="43"/>
      <c r="AN9" s="43"/>
      <c r="AO9" s="43"/>
      <c r="AP9" s="43"/>
      <c r="AQ9" s="43"/>
      <c r="AR9" s="74"/>
      <c r="AS9" s="74"/>
      <c r="AT9" s="43"/>
      <c r="AU9" s="43"/>
      <c r="AV9" s="82">
        <v>8280000</v>
      </c>
      <c r="AW9" s="43"/>
      <c r="AX9" s="43"/>
      <c r="AY9" s="43"/>
      <c r="AZ9" s="74"/>
      <c r="BA9" s="74"/>
      <c r="BB9" s="43"/>
      <c r="BC9" s="43"/>
      <c r="BD9" s="43"/>
      <c r="BE9" s="43"/>
      <c r="BF9" s="43"/>
      <c r="BG9" s="74"/>
      <c r="BH9" s="74"/>
      <c r="BI9" s="43"/>
      <c r="BJ9" s="43"/>
      <c r="BK9" s="43"/>
      <c r="BL9" s="43"/>
      <c r="BM9" s="43"/>
      <c r="BN9" s="74"/>
      <c r="BO9" s="74"/>
      <c r="BP9" s="43"/>
      <c r="BQ9" s="43"/>
      <c r="BR9" s="43"/>
      <c r="BS9" s="43"/>
      <c r="BT9" s="43"/>
      <c r="BU9" s="74"/>
      <c r="BV9" s="74"/>
      <c r="BW9" s="43"/>
      <c r="BX9" s="43"/>
      <c r="BY9" s="43"/>
      <c r="BZ9" s="43"/>
      <c r="CA9" s="43"/>
      <c r="CB9" s="96">
        <v>8480000</v>
      </c>
      <c r="CC9" s="79"/>
      <c r="CD9" s="79"/>
      <c r="CE9" s="79"/>
      <c r="CF9" s="79"/>
      <c r="CG9" s="79"/>
      <c r="CH9" s="80"/>
      <c r="CI9" s="80"/>
      <c r="CJ9" s="79"/>
      <c r="CK9" s="79"/>
      <c r="CL9" s="79"/>
      <c r="CM9" s="79"/>
      <c r="CN9" s="79"/>
      <c r="CO9" s="80"/>
      <c r="CP9" s="80"/>
      <c r="CQ9" s="79"/>
      <c r="CR9" s="79"/>
      <c r="CS9" s="79"/>
      <c r="CT9" s="79"/>
      <c r="CU9" s="79"/>
      <c r="CV9" s="80"/>
      <c r="CW9" s="80"/>
      <c r="CX9" s="79"/>
      <c r="CY9" s="79"/>
      <c r="CZ9" s="79"/>
      <c r="DA9" s="79"/>
      <c r="DB9" s="79"/>
      <c r="DC9" s="80"/>
      <c r="DD9" s="80"/>
      <c r="DE9" s="79"/>
      <c r="DF9" s="79"/>
      <c r="DG9" s="96">
        <v>8480000</v>
      </c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96">
        <v>8480000</v>
      </c>
      <c r="EO9" s="95">
        <f t="shared" si="0"/>
        <v>42360000</v>
      </c>
      <c r="EP9" s="70">
        <v>42360000</v>
      </c>
      <c r="EQ9" s="13">
        <f t="shared" si="1"/>
        <v>0</v>
      </c>
      <c r="ER9" s="13"/>
      <c r="ES9" s="8" t="s">
        <v>118</v>
      </c>
      <c r="ET9" s="8"/>
      <c r="EU9" s="8"/>
      <c r="EV9" s="1"/>
      <c r="EW9" s="13"/>
      <c r="EX9" s="13"/>
      <c r="EY9" s="8"/>
      <c r="EZ9" s="19" t="s">
        <v>97</v>
      </c>
      <c r="FA9" s="20">
        <f>SUMIF($G$5:$G$27,"D",$EO$5:$EO$27)</f>
        <v>0</v>
      </c>
      <c r="FB9" s="111"/>
      <c r="FE9" s="196"/>
      <c r="FF9" s="196"/>
      <c r="FG9" s="19" t="s">
        <v>97</v>
      </c>
      <c r="FH9" s="20">
        <f>SUMIF($G$5:$G$27,"D",$EO$5:$EO$27)</f>
        <v>0</v>
      </c>
      <c r="FI9" s="111"/>
      <c r="FJ9" s="111"/>
      <c r="FK9" s="201"/>
      <c r="FL9"/>
      <c r="FM9" s="14"/>
      <c r="FN9" s="17"/>
      <c r="FO9" s="14"/>
      <c r="FP9" s="14"/>
      <c r="FQ9" s="14"/>
      <c r="FR9"/>
    </row>
    <row r="10" spans="1:175" ht="21" customHeight="1" x14ac:dyDescent="0.55000000000000004">
      <c r="A10" s="32" t="s">
        <v>79</v>
      </c>
      <c r="B10" s="1" t="s">
        <v>112</v>
      </c>
      <c r="C10" s="1" t="s">
        <v>119</v>
      </c>
      <c r="D10" s="1" t="s">
        <v>108</v>
      </c>
      <c r="E10" s="77" t="s">
        <v>120</v>
      </c>
      <c r="F10" s="80" t="s">
        <v>121</v>
      </c>
      <c r="G10" s="2" t="s">
        <v>122</v>
      </c>
      <c r="N10" s="184"/>
      <c r="O10" s="97"/>
      <c r="P10" s="82">
        <v>0</v>
      </c>
      <c r="Q10" s="82">
        <v>0</v>
      </c>
      <c r="R10" s="80"/>
      <c r="S10" s="80"/>
      <c r="T10" s="80"/>
      <c r="U10" s="80"/>
      <c r="V10" s="80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82">
        <v>0</v>
      </c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>
        <v>0</v>
      </c>
      <c r="CC10" s="96"/>
      <c r="CD10" s="96"/>
      <c r="CE10" s="96"/>
      <c r="CF10" s="96"/>
      <c r="CG10" s="96"/>
      <c r="CH10" s="96"/>
      <c r="CI10" s="96"/>
      <c r="CJ10" s="96"/>
      <c r="CK10" s="96"/>
      <c r="CL10" s="96"/>
      <c r="CM10" s="96"/>
      <c r="CN10" s="96"/>
      <c r="CO10" s="96"/>
      <c r="CP10" s="96"/>
      <c r="CQ10" s="96"/>
      <c r="CR10" s="96"/>
      <c r="CS10" s="96"/>
      <c r="CT10" s="96"/>
      <c r="CU10" s="96"/>
      <c r="CV10" s="96"/>
      <c r="CW10" s="96"/>
      <c r="CX10" s="96"/>
      <c r="CY10" s="96"/>
      <c r="CZ10" s="96"/>
      <c r="DA10" s="96"/>
      <c r="DB10" s="96"/>
      <c r="DC10" s="96"/>
      <c r="DD10" s="96"/>
      <c r="DE10" s="96"/>
      <c r="DF10" s="96"/>
      <c r="DG10" s="96">
        <v>0</v>
      </c>
      <c r="DH10" s="96"/>
      <c r="DI10" s="96"/>
      <c r="DJ10" s="96"/>
      <c r="DK10" s="96"/>
      <c r="DL10" s="96"/>
      <c r="DM10" s="96"/>
      <c r="DN10" s="96"/>
      <c r="DO10" s="96"/>
      <c r="DP10" s="96"/>
      <c r="DQ10" s="96"/>
      <c r="DR10" s="96"/>
      <c r="DS10" s="96"/>
      <c r="DT10" s="96"/>
      <c r="DU10" s="96"/>
      <c r="DV10" s="96"/>
      <c r="DW10" s="96"/>
      <c r="DX10" s="96"/>
      <c r="DY10" s="96"/>
      <c r="DZ10" s="96"/>
      <c r="EA10" s="96"/>
      <c r="EB10" s="96"/>
      <c r="EC10" s="96"/>
      <c r="ED10" s="96"/>
      <c r="EE10" s="96"/>
      <c r="EF10" s="96"/>
      <c r="EG10" s="96"/>
      <c r="EH10" s="96"/>
      <c r="EI10" s="96"/>
      <c r="EJ10" s="96"/>
      <c r="EK10" s="96"/>
      <c r="EL10" s="96"/>
      <c r="EM10" s="96">
        <v>0</v>
      </c>
      <c r="EO10" s="95">
        <f t="shared" si="0"/>
        <v>0</v>
      </c>
      <c r="EP10" s="70">
        <v>0</v>
      </c>
      <c r="EQ10" s="13">
        <f t="shared" si="1"/>
        <v>0</v>
      </c>
      <c r="ER10" s="13"/>
      <c r="ES10" s="64" t="s">
        <v>123</v>
      </c>
      <c r="ET10" s="13"/>
      <c r="EU10" s="13"/>
      <c r="EV10" s="1"/>
      <c r="EW10" s="13"/>
      <c r="EX10" s="13"/>
      <c r="EY10" s="8"/>
      <c r="EZ10" s="19" t="s">
        <v>84</v>
      </c>
      <c r="FA10" s="20">
        <f>SUMIF($G$5:$G$27,"o",$EO$5:$EO$27)</f>
        <v>0</v>
      </c>
      <c r="FB10" s="111"/>
      <c r="FE10" s="196"/>
      <c r="FF10" s="196"/>
      <c r="FG10" s="19" t="s">
        <v>84</v>
      </c>
      <c r="FH10" s="20">
        <f>SUMIF($G$5:$G$27,"o",$EO$5:$EO$27)</f>
        <v>0</v>
      </c>
      <c r="FI10" s="111"/>
      <c r="FJ10" s="111"/>
      <c r="FK10" s="201"/>
    </row>
    <row r="11" spans="1:175" ht="21" customHeight="1" thickBot="1" x14ac:dyDescent="0.6">
      <c r="A11" s="32" t="s">
        <v>79</v>
      </c>
      <c r="B11" s="1" t="s">
        <v>112</v>
      </c>
      <c r="C11" s="1" t="s">
        <v>124</v>
      </c>
      <c r="D11" s="1" t="s">
        <v>108</v>
      </c>
      <c r="E11" s="77" t="s">
        <v>120</v>
      </c>
      <c r="F11" s="80" t="s">
        <v>125</v>
      </c>
      <c r="G11" s="2" t="s">
        <v>122</v>
      </c>
      <c r="N11" s="184"/>
      <c r="O11" s="97"/>
      <c r="P11" s="82">
        <v>0</v>
      </c>
      <c r="Q11" s="82">
        <v>0</v>
      </c>
      <c r="R11" s="80"/>
      <c r="S11" s="80"/>
      <c r="T11" s="80"/>
      <c r="U11" s="80"/>
      <c r="V11" s="80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82">
        <v>0</v>
      </c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>
        <v>0</v>
      </c>
      <c r="CC11" s="80"/>
      <c r="CD11" s="80"/>
      <c r="CE11" s="80"/>
      <c r="CF11" s="80"/>
      <c r="CG11" s="80"/>
      <c r="CH11" s="80"/>
      <c r="CI11" s="80"/>
      <c r="CJ11" s="80"/>
      <c r="CK11" s="80"/>
      <c r="CL11" s="80"/>
      <c r="CM11" s="80"/>
      <c r="CN11" s="80"/>
      <c r="CO11" s="80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0"/>
      <c r="DA11" s="80"/>
      <c r="DB11" s="80"/>
      <c r="DC11" s="80"/>
      <c r="DD11" s="80"/>
      <c r="DE11" s="80"/>
      <c r="DF11" s="80"/>
      <c r="DG11" s="96">
        <v>0</v>
      </c>
      <c r="DH11" s="80"/>
      <c r="DI11" s="80"/>
      <c r="DJ11" s="80"/>
      <c r="DK11" s="80"/>
      <c r="DL11" s="80"/>
      <c r="DM11" s="80"/>
      <c r="DN11" s="80"/>
      <c r="DO11" s="80"/>
      <c r="DP11" s="80"/>
      <c r="DQ11" s="80"/>
      <c r="DR11" s="80"/>
      <c r="DS11" s="80"/>
      <c r="DT11" s="80"/>
      <c r="DU11" s="80"/>
      <c r="DV11" s="80"/>
      <c r="DW11" s="80"/>
      <c r="DX11" s="80"/>
      <c r="DY11" s="80"/>
      <c r="DZ11" s="80"/>
      <c r="EA11" s="80"/>
      <c r="EB11" s="80"/>
      <c r="EC11" s="80"/>
      <c r="ED11" s="80"/>
      <c r="EE11" s="80"/>
      <c r="EF11" s="80"/>
      <c r="EG11" s="80"/>
      <c r="EH11" s="80"/>
      <c r="EI11" s="80"/>
      <c r="EJ11" s="80"/>
      <c r="EK11" s="80"/>
      <c r="EL11" s="80"/>
      <c r="EM11" s="96">
        <v>0</v>
      </c>
      <c r="EO11" s="95">
        <f t="shared" si="0"/>
        <v>0</v>
      </c>
      <c r="EP11" s="70">
        <v>0</v>
      </c>
      <c r="EQ11" s="13">
        <f t="shared" si="1"/>
        <v>0</v>
      </c>
      <c r="ER11" s="13"/>
      <c r="ES11" s="64" t="s">
        <v>123</v>
      </c>
      <c r="ET11" s="13"/>
      <c r="EU11" s="13"/>
      <c r="EV11" s="1"/>
      <c r="EW11" s="13"/>
      <c r="EX11" s="13"/>
      <c r="EY11" s="8"/>
      <c r="EZ11" s="23" t="s">
        <v>126</v>
      </c>
      <c r="FA11" s="24">
        <f>SUM(FA6:FA10)</f>
        <v>96617701.420000002</v>
      </c>
      <c r="FB11" s="24">
        <f>EW5</f>
        <v>97520000</v>
      </c>
      <c r="FE11" s="196"/>
      <c r="FF11" s="196"/>
      <c r="FG11" s="219" t="s">
        <v>127</v>
      </c>
      <c r="FH11" s="24">
        <f>SUM(FH6:FH10)</f>
        <v>142798732.92000002</v>
      </c>
      <c r="FI11" s="24">
        <v>147703032</v>
      </c>
      <c r="FJ11" s="111"/>
      <c r="FK11" s="201"/>
    </row>
    <row r="12" spans="1:175" ht="21" customHeight="1" x14ac:dyDescent="0.55000000000000004">
      <c r="A12" s="32" t="s">
        <v>79</v>
      </c>
      <c r="B12" s="31" t="s">
        <v>128</v>
      </c>
      <c r="C12" s="1" t="s">
        <v>129</v>
      </c>
      <c r="D12" s="1" t="s">
        <v>108</v>
      </c>
      <c r="E12" s="271" t="s">
        <v>792</v>
      </c>
      <c r="F12" s="81" t="s">
        <v>130</v>
      </c>
      <c r="G12" s="29" t="s">
        <v>225</v>
      </c>
      <c r="N12" s="184"/>
      <c r="O12" s="97"/>
      <c r="P12" s="82">
        <v>0</v>
      </c>
      <c r="Q12" s="82">
        <v>0</v>
      </c>
      <c r="R12" s="79"/>
      <c r="S12" s="79"/>
      <c r="T12" s="79"/>
      <c r="U12" s="79"/>
      <c r="V12" s="79"/>
      <c r="W12" s="74"/>
      <c r="X12" s="74"/>
      <c r="Y12" s="43"/>
      <c r="Z12" s="43"/>
      <c r="AA12" s="43"/>
      <c r="AB12" s="43"/>
      <c r="AC12" s="43"/>
      <c r="AD12" s="74"/>
      <c r="AE12" s="74"/>
      <c r="AF12" s="43"/>
      <c r="AG12" s="43"/>
      <c r="AH12" s="43"/>
      <c r="AI12" s="43"/>
      <c r="AJ12" s="43"/>
      <c r="AK12" s="74"/>
      <c r="AL12" s="74"/>
      <c r="AM12" s="43"/>
      <c r="AN12" s="43"/>
      <c r="AO12" s="43"/>
      <c r="AP12" s="43"/>
      <c r="AQ12" s="43"/>
      <c r="AR12" s="74"/>
      <c r="AS12" s="74"/>
      <c r="AT12" s="43"/>
      <c r="AU12" s="43"/>
      <c r="AV12" s="82"/>
      <c r="AW12" s="43"/>
      <c r="AX12" s="43"/>
      <c r="AY12" s="43"/>
      <c r="AZ12" s="74"/>
      <c r="BA12" s="74"/>
      <c r="BB12" s="43"/>
      <c r="BC12" s="43"/>
      <c r="BD12" s="43"/>
      <c r="BE12" s="43"/>
      <c r="BF12" s="43"/>
      <c r="BG12" s="74"/>
      <c r="BH12" s="74"/>
      <c r="BI12" s="43"/>
      <c r="BJ12" s="43"/>
      <c r="BK12" s="43"/>
      <c r="BL12" s="43"/>
      <c r="BM12" s="43"/>
      <c r="BN12" s="74"/>
      <c r="BO12" s="74"/>
      <c r="BP12" s="43"/>
      <c r="BQ12" s="43"/>
      <c r="BR12" s="43"/>
      <c r="BS12" s="43"/>
      <c r="BT12" s="43"/>
      <c r="BU12" s="74"/>
      <c r="BV12" s="74"/>
      <c r="BW12" s="43"/>
      <c r="BX12" s="43"/>
      <c r="BY12" s="43"/>
      <c r="BZ12" s="43"/>
      <c r="CA12" s="43"/>
      <c r="CB12" s="97">
        <v>0</v>
      </c>
      <c r="CC12" s="79"/>
      <c r="CD12" s="79"/>
      <c r="CE12" s="79"/>
      <c r="CF12" s="79"/>
      <c r="CG12" s="79"/>
      <c r="CH12" s="80"/>
      <c r="CI12" s="80"/>
      <c r="CJ12" s="79"/>
      <c r="CK12" s="79"/>
      <c r="CL12" s="79"/>
      <c r="CM12" s="79"/>
      <c r="CN12" s="79"/>
      <c r="CO12" s="80"/>
      <c r="CP12" s="80"/>
      <c r="CQ12" s="79"/>
      <c r="CR12" s="79"/>
      <c r="CS12" s="79"/>
      <c r="CT12" s="79"/>
      <c r="CU12" s="79"/>
      <c r="CV12" s="80"/>
      <c r="CW12" s="80"/>
      <c r="CX12" s="79"/>
      <c r="CY12" s="79"/>
      <c r="CZ12" s="79"/>
      <c r="DA12" s="79"/>
      <c r="DB12" s="79"/>
      <c r="DC12" s="80"/>
      <c r="DD12" s="80"/>
      <c r="DE12" s="79"/>
      <c r="DF12" s="79"/>
      <c r="DG12" s="97">
        <v>0</v>
      </c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98">
        <v>0</v>
      </c>
      <c r="EO12" s="65">
        <f t="shared" si="0"/>
        <v>0</v>
      </c>
      <c r="EP12" s="70">
        <v>280000</v>
      </c>
      <c r="EQ12" s="13">
        <f t="shared" si="1"/>
        <v>-280000</v>
      </c>
      <c r="ER12" s="13"/>
      <c r="ES12" s="13"/>
      <c r="ET12" s="13"/>
      <c r="EU12" s="13"/>
      <c r="EV12" s="1"/>
      <c r="EW12" s="13"/>
      <c r="EX12" s="13"/>
      <c r="EY12" s="8"/>
      <c r="FE12" s="196"/>
      <c r="FF12" s="196"/>
      <c r="FJ12" s="201"/>
      <c r="FK12" s="201"/>
    </row>
    <row r="13" spans="1:175" ht="21" customHeight="1" x14ac:dyDescent="0.55000000000000004">
      <c r="A13" s="32" t="s">
        <v>79</v>
      </c>
      <c r="B13" s="1" t="s">
        <v>131</v>
      </c>
      <c r="C13" s="1" t="s">
        <v>132</v>
      </c>
      <c r="D13" s="1" t="s">
        <v>89</v>
      </c>
      <c r="E13" s="77" t="s">
        <v>133</v>
      </c>
      <c r="F13" s="80" t="s">
        <v>134</v>
      </c>
      <c r="G13" s="74" t="s">
        <v>9</v>
      </c>
      <c r="I13" s="43"/>
      <c r="J13" s="43"/>
      <c r="K13" s="43"/>
      <c r="L13" s="43"/>
      <c r="M13" s="43"/>
      <c r="N13" s="184"/>
      <c r="O13" s="97"/>
      <c r="P13" s="82">
        <v>0</v>
      </c>
      <c r="Q13" s="82">
        <v>0</v>
      </c>
      <c r="R13" s="79"/>
      <c r="S13" s="79"/>
      <c r="T13" s="79"/>
      <c r="U13" s="79"/>
      <c r="V13" s="79"/>
      <c r="W13" s="74"/>
      <c r="X13" s="74"/>
      <c r="Y13" s="43"/>
      <c r="Z13" s="43"/>
      <c r="AA13" s="43"/>
      <c r="AB13" s="43"/>
      <c r="AC13" s="43"/>
      <c r="AD13" s="74"/>
      <c r="AE13" s="74"/>
      <c r="AF13" s="43"/>
      <c r="AG13" s="43"/>
      <c r="AH13" s="43"/>
      <c r="AI13" s="43"/>
      <c r="AJ13" s="43"/>
      <c r="AK13" s="74"/>
      <c r="AL13" s="74"/>
      <c r="AM13" s="43"/>
      <c r="AN13" s="43"/>
      <c r="AO13" s="43"/>
      <c r="AP13" s="43"/>
      <c r="AQ13" s="43"/>
      <c r="AR13" s="74"/>
      <c r="AS13" s="74"/>
      <c r="AT13" s="43"/>
      <c r="AU13" s="43"/>
      <c r="AV13" s="82"/>
      <c r="AW13" s="43"/>
      <c r="AX13" s="43"/>
      <c r="AY13" s="43"/>
      <c r="AZ13" s="74"/>
      <c r="BA13" s="74"/>
      <c r="BB13" s="43"/>
      <c r="BC13" s="43"/>
      <c r="BD13" s="43"/>
      <c r="BE13" s="43"/>
      <c r="BF13" s="43"/>
      <c r="BG13" s="74"/>
      <c r="BH13" s="74"/>
      <c r="BI13" s="43"/>
      <c r="BJ13" s="43"/>
      <c r="BK13" s="43"/>
      <c r="BL13" s="43"/>
      <c r="BM13" s="43"/>
      <c r="BN13" s="74"/>
      <c r="BO13" s="74"/>
      <c r="BP13" s="43"/>
      <c r="BQ13" s="43"/>
      <c r="BR13" s="43"/>
      <c r="BS13" s="43"/>
      <c r="BT13" s="43"/>
      <c r="BU13" s="74"/>
      <c r="BV13" s="74"/>
      <c r="BW13" s="43"/>
      <c r="BX13" s="43"/>
      <c r="BY13" s="43"/>
      <c r="BZ13" s="43"/>
      <c r="CA13" s="43"/>
      <c r="CB13" s="96"/>
      <c r="CC13" s="79"/>
      <c r="CD13" s="79"/>
      <c r="CE13" s="79"/>
      <c r="CF13" s="79"/>
      <c r="CG13" s="79"/>
      <c r="CH13" s="80"/>
      <c r="CI13" s="80"/>
      <c r="CJ13" s="79"/>
      <c r="CK13" s="79"/>
      <c r="CL13" s="79"/>
      <c r="CM13" s="79"/>
      <c r="CN13" s="79"/>
      <c r="CO13" s="80"/>
      <c r="CP13" s="80"/>
      <c r="CQ13" s="79"/>
      <c r="CR13" s="79"/>
      <c r="CS13" s="79"/>
      <c r="CT13" s="79"/>
      <c r="CU13" s="79"/>
      <c r="CV13" s="80"/>
      <c r="CW13" s="80"/>
      <c r="CX13" s="79"/>
      <c r="CY13" s="79"/>
      <c r="CZ13" s="79"/>
      <c r="DA13" s="79"/>
      <c r="DB13" s="79"/>
      <c r="DC13" s="80"/>
      <c r="DD13" s="80"/>
      <c r="DE13" s="79"/>
      <c r="DF13" s="79"/>
      <c r="DG13" s="96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96">
        <v>175000</v>
      </c>
      <c r="EO13" s="95">
        <f t="shared" si="0"/>
        <v>175000</v>
      </c>
      <c r="EP13" s="70">
        <v>175000</v>
      </c>
      <c r="EQ13" s="13">
        <f t="shared" si="1"/>
        <v>0</v>
      </c>
      <c r="ER13" s="13"/>
      <c r="ES13" s="13"/>
      <c r="ET13" s="13"/>
      <c r="EU13" s="13"/>
      <c r="EV13" s="1"/>
      <c r="EW13" s="13"/>
      <c r="EX13" s="13"/>
      <c r="EY13" s="8"/>
      <c r="FE13" s="196"/>
      <c r="FF13" s="196"/>
      <c r="FG13" s="219" t="s">
        <v>135</v>
      </c>
      <c r="FH13" s="24">
        <f>チーム別PreSales!E4</f>
        <v>30956700</v>
      </c>
      <c r="FI13" s="111"/>
      <c r="FJ13" s="111"/>
      <c r="FK13" s="201"/>
    </row>
    <row r="14" spans="1:175" ht="21" customHeight="1" x14ac:dyDescent="0.55000000000000004">
      <c r="A14" s="32" t="s">
        <v>79</v>
      </c>
      <c r="B14" s="29" t="s">
        <v>87</v>
      </c>
      <c r="C14" s="29" t="s">
        <v>136</v>
      </c>
      <c r="D14" s="1" t="s">
        <v>108</v>
      </c>
      <c r="E14" s="77" t="s">
        <v>137</v>
      </c>
      <c r="F14" s="80" t="s">
        <v>138</v>
      </c>
      <c r="G14" s="74" t="s">
        <v>9</v>
      </c>
      <c r="H14" s="202">
        <v>0.49</v>
      </c>
      <c r="I14" s="43"/>
      <c r="J14" s="43"/>
      <c r="K14" s="43"/>
      <c r="L14" s="43"/>
      <c r="M14" s="43"/>
      <c r="N14" s="184"/>
      <c r="O14" s="97"/>
      <c r="P14" s="82">
        <v>1960000</v>
      </c>
      <c r="Q14" s="82">
        <v>1960000</v>
      </c>
      <c r="R14" s="79"/>
      <c r="S14" s="79"/>
      <c r="T14" s="79"/>
      <c r="U14" s="79"/>
      <c r="V14" s="79"/>
      <c r="W14" s="74"/>
      <c r="X14" s="74"/>
      <c r="Y14" s="43"/>
      <c r="Z14" s="43"/>
      <c r="AA14" s="43"/>
      <c r="AB14" s="43"/>
      <c r="AC14" s="43"/>
      <c r="AD14" s="74"/>
      <c r="AE14" s="74"/>
      <c r="AF14" s="43"/>
      <c r="AG14" s="43"/>
      <c r="AH14" s="43"/>
      <c r="AI14" s="43"/>
      <c r="AJ14" s="43"/>
      <c r="AK14" s="74"/>
      <c r="AL14" s="74"/>
      <c r="AM14" s="43"/>
      <c r="AN14" s="43"/>
      <c r="AO14" s="43"/>
      <c r="AP14" s="43"/>
      <c r="AQ14" s="43"/>
      <c r="AR14" s="74"/>
      <c r="AS14" s="74"/>
      <c r="AT14" s="43"/>
      <c r="AU14" s="43"/>
      <c r="AV14" s="82">
        <v>1960000</v>
      </c>
      <c r="AW14" s="43"/>
      <c r="AX14" s="43"/>
      <c r="AY14" s="43"/>
      <c r="AZ14" s="74"/>
      <c r="BA14" s="74"/>
      <c r="BB14" s="43"/>
      <c r="BC14" s="43"/>
      <c r="BD14" s="43"/>
      <c r="BE14" s="43"/>
      <c r="BF14" s="43"/>
      <c r="BG14" s="74"/>
      <c r="BH14" s="74"/>
      <c r="BI14" s="43"/>
      <c r="BJ14" s="43"/>
      <c r="BK14" s="43"/>
      <c r="BL14" s="43"/>
      <c r="BM14" s="43"/>
      <c r="BN14" s="74"/>
      <c r="BO14" s="74"/>
      <c r="BP14" s="43"/>
      <c r="BQ14" s="43"/>
      <c r="BR14" s="43"/>
      <c r="BS14" s="43"/>
      <c r="BT14" s="43"/>
      <c r="BU14" s="74"/>
      <c r="BV14" s="74"/>
      <c r="BW14" s="43"/>
      <c r="BX14" s="43"/>
      <c r="BY14" s="43"/>
      <c r="BZ14" s="43"/>
      <c r="CA14" s="43"/>
      <c r="CB14" s="96">
        <v>1960000</v>
      </c>
      <c r="CC14" s="79"/>
      <c r="CD14" s="79"/>
      <c r="CE14" s="79"/>
      <c r="CF14" s="79"/>
      <c r="CG14" s="79"/>
      <c r="CH14" s="80"/>
      <c r="CI14" s="80"/>
      <c r="CJ14" s="79"/>
      <c r="CK14" s="79"/>
      <c r="CL14" s="79"/>
      <c r="CM14" s="79"/>
      <c r="CN14" s="79"/>
      <c r="CO14" s="80"/>
      <c r="CP14" s="80"/>
      <c r="CQ14" s="79"/>
      <c r="CR14" s="79"/>
      <c r="CS14" s="79"/>
      <c r="CT14" s="79"/>
      <c r="CU14" s="79"/>
      <c r="CV14" s="80"/>
      <c r="CW14" s="80"/>
      <c r="CX14" s="79"/>
      <c r="CY14" s="79"/>
      <c r="CZ14" s="79"/>
      <c r="DA14" s="79"/>
      <c r="DB14" s="79"/>
      <c r="DC14" s="80"/>
      <c r="DD14" s="80"/>
      <c r="DE14" s="79"/>
      <c r="DF14" s="79"/>
      <c r="DG14" s="96">
        <v>1960000</v>
      </c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96">
        <v>1960000</v>
      </c>
      <c r="EO14" s="95">
        <f t="shared" si="0"/>
        <v>11760000</v>
      </c>
      <c r="EP14" s="70">
        <v>11760000</v>
      </c>
      <c r="EQ14" s="13">
        <f t="shared" si="1"/>
        <v>0</v>
      </c>
      <c r="ER14" s="13"/>
      <c r="ES14" s="13"/>
      <c r="ET14" s="13"/>
      <c r="EU14" s="13"/>
      <c r="EV14" s="1"/>
      <c r="EW14" s="13"/>
      <c r="EX14" s="13"/>
      <c r="EY14" s="8"/>
      <c r="FE14" s="196"/>
      <c r="FF14" s="196"/>
      <c r="FK14" s="201"/>
    </row>
    <row r="15" spans="1:175" s="29" customFormat="1" ht="21" x14ac:dyDescent="0.55000000000000004">
      <c r="A15" s="32" t="s">
        <v>79</v>
      </c>
      <c r="B15" s="43" t="s">
        <v>139</v>
      </c>
      <c r="C15" s="43" t="s">
        <v>140</v>
      </c>
      <c r="D15" s="43" t="s">
        <v>108</v>
      </c>
      <c r="E15" s="77" t="s">
        <v>141</v>
      </c>
      <c r="F15" s="80" t="s">
        <v>142</v>
      </c>
      <c r="G15" s="74" t="s">
        <v>9</v>
      </c>
      <c r="H15" s="203"/>
      <c r="I15" s="43"/>
      <c r="J15" s="43"/>
      <c r="K15" s="43"/>
      <c r="L15" s="43"/>
      <c r="M15" s="43"/>
      <c r="N15" s="184"/>
      <c r="O15" s="97"/>
      <c r="P15" s="82">
        <v>150000</v>
      </c>
      <c r="Q15" s="82">
        <v>0</v>
      </c>
      <c r="R15" s="81"/>
      <c r="S15" s="81"/>
      <c r="T15" s="81"/>
      <c r="U15" s="81"/>
      <c r="V15" s="81"/>
      <c r="W15" s="74"/>
      <c r="X15" s="74"/>
      <c r="Y15" s="43"/>
      <c r="Z15" s="43"/>
      <c r="AA15" s="43"/>
      <c r="AB15" s="43"/>
      <c r="AC15" s="43"/>
      <c r="AD15" s="74"/>
      <c r="AE15" s="74"/>
      <c r="AF15" s="43"/>
      <c r="AG15" s="43"/>
      <c r="AH15" s="43"/>
      <c r="AI15" s="43"/>
      <c r="AJ15" s="43"/>
      <c r="AK15" s="74"/>
      <c r="AL15" s="74"/>
      <c r="AM15" s="43"/>
      <c r="AN15" s="43"/>
      <c r="AO15" s="43"/>
      <c r="AP15" s="43"/>
      <c r="AQ15" s="43"/>
      <c r="AR15" s="74"/>
      <c r="AS15" s="74"/>
      <c r="AT15" s="43"/>
      <c r="AU15" s="43"/>
      <c r="AV15" s="82">
        <v>0</v>
      </c>
      <c r="AW15" s="43"/>
      <c r="AX15" s="43"/>
      <c r="AY15" s="43"/>
      <c r="AZ15" s="74"/>
      <c r="BA15" s="74"/>
      <c r="BB15" s="43"/>
      <c r="BC15" s="43"/>
      <c r="BD15" s="43"/>
      <c r="BE15" s="43"/>
      <c r="BF15" s="43"/>
      <c r="BG15" s="74"/>
      <c r="BH15" s="74"/>
      <c r="BI15" s="43"/>
      <c r="BJ15" s="43"/>
      <c r="BK15" s="43"/>
      <c r="BL15" s="43"/>
      <c r="BM15" s="43"/>
      <c r="BN15" s="74"/>
      <c r="BO15" s="74"/>
      <c r="BP15" s="43"/>
      <c r="BQ15" s="43"/>
      <c r="BR15" s="43"/>
      <c r="BS15" s="43"/>
      <c r="BT15" s="43"/>
      <c r="BU15" s="74"/>
      <c r="BV15" s="74"/>
      <c r="BW15" s="43"/>
      <c r="BX15" s="43"/>
      <c r="BY15" s="43"/>
      <c r="BZ15" s="43"/>
      <c r="CA15" s="43"/>
      <c r="CB15" s="96">
        <v>0</v>
      </c>
      <c r="CC15" s="81"/>
      <c r="CD15" s="81"/>
      <c r="CE15" s="81"/>
      <c r="CF15" s="81"/>
      <c r="CG15" s="81"/>
      <c r="CH15" s="80"/>
      <c r="CI15" s="80"/>
      <c r="CJ15" s="81"/>
      <c r="CK15" s="81"/>
      <c r="CL15" s="81"/>
      <c r="CM15" s="81"/>
      <c r="CN15" s="81"/>
      <c r="CO15" s="80"/>
      <c r="CP15" s="80"/>
      <c r="CQ15" s="81"/>
      <c r="CR15" s="81"/>
      <c r="CS15" s="81"/>
      <c r="CT15" s="81"/>
      <c r="CU15" s="81"/>
      <c r="CV15" s="80"/>
      <c r="CW15" s="80"/>
      <c r="CX15" s="81"/>
      <c r="CY15" s="81"/>
      <c r="CZ15" s="81"/>
      <c r="DA15" s="81"/>
      <c r="DB15" s="81"/>
      <c r="DC15" s="80"/>
      <c r="DD15" s="80"/>
      <c r="DE15" s="81"/>
      <c r="DF15" s="81"/>
      <c r="DG15" s="96">
        <v>0</v>
      </c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96">
        <v>0</v>
      </c>
      <c r="EN15" s="11"/>
      <c r="EO15" s="95">
        <f t="shared" si="0"/>
        <v>150000</v>
      </c>
      <c r="EP15" s="70">
        <v>150000</v>
      </c>
      <c r="EQ15" s="13">
        <f t="shared" si="1"/>
        <v>0</v>
      </c>
      <c r="ER15" s="13"/>
      <c r="ES15" s="30"/>
      <c r="ET15" s="30"/>
      <c r="EU15" s="30"/>
      <c r="EW15" s="30"/>
      <c r="EX15" s="30"/>
      <c r="EY15" s="200"/>
      <c r="FC15" s="2"/>
      <c r="FD15" s="1"/>
      <c r="FE15" s="198"/>
      <c r="FF15" s="198"/>
      <c r="FG15" s="219" t="s">
        <v>143</v>
      </c>
      <c r="FH15" s="24">
        <f>FH11+FH13</f>
        <v>173755432.92000002</v>
      </c>
      <c r="FI15" s="111"/>
      <c r="FJ15" s="24">
        <v>106000000</v>
      </c>
      <c r="FK15" s="201"/>
      <c r="FL15" s="1"/>
      <c r="FM15" s="1"/>
      <c r="FN15" s="1"/>
      <c r="FO15" s="1"/>
      <c r="FP15" s="1"/>
      <c r="FQ15" s="1"/>
      <c r="FR15" s="1"/>
      <c r="FS15" s="1"/>
    </row>
    <row r="16" spans="1:175" ht="21" outlineLevel="1" x14ac:dyDescent="0.55000000000000004">
      <c r="A16" s="32" t="s">
        <v>79</v>
      </c>
      <c r="B16" s="1" t="s">
        <v>144</v>
      </c>
      <c r="C16" s="1" t="s">
        <v>145</v>
      </c>
      <c r="D16" s="1" t="s">
        <v>108</v>
      </c>
      <c r="E16" s="77" t="s">
        <v>146</v>
      </c>
      <c r="F16" s="80" t="s">
        <v>147</v>
      </c>
      <c r="G16" s="2" t="s">
        <v>122</v>
      </c>
      <c r="N16" s="184"/>
      <c r="O16" s="97"/>
      <c r="P16" s="82">
        <v>0</v>
      </c>
      <c r="Q16" s="82">
        <v>0</v>
      </c>
      <c r="R16" s="80">
        <v>300000</v>
      </c>
      <c r="S16" s="80">
        <v>300000</v>
      </c>
      <c r="T16" s="80">
        <v>300000</v>
      </c>
      <c r="U16" s="80">
        <v>300000</v>
      </c>
      <c r="V16" s="80">
        <v>300000</v>
      </c>
      <c r="W16" s="74">
        <v>300000</v>
      </c>
      <c r="X16" s="74">
        <v>300000</v>
      </c>
      <c r="Y16" s="74">
        <v>300000</v>
      </c>
      <c r="Z16" s="74">
        <v>300000</v>
      </c>
      <c r="AA16" s="74">
        <v>300000</v>
      </c>
      <c r="AB16" s="74">
        <v>300000</v>
      </c>
      <c r="AC16" s="74">
        <v>300000</v>
      </c>
      <c r="AD16" s="74">
        <v>300000</v>
      </c>
      <c r="AE16" s="74">
        <v>300000</v>
      </c>
      <c r="AF16" s="74">
        <v>300000</v>
      </c>
      <c r="AG16" s="74">
        <v>300000</v>
      </c>
      <c r="AH16" s="74">
        <v>300000</v>
      </c>
      <c r="AI16" s="74">
        <v>300000</v>
      </c>
      <c r="AJ16" s="74">
        <v>300000</v>
      </c>
      <c r="AK16" s="74">
        <v>300000</v>
      </c>
      <c r="AL16" s="74">
        <v>300000</v>
      </c>
      <c r="AM16" s="74">
        <v>300000</v>
      </c>
      <c r="AN16" s="74">
        <v>300000</v>
      </c>
      <c r="AO16" s="74">
        <v>300000</v>
      </c>
      <c r="AP16" s="74">
        <v>300000</v>
      </c>
      <c r="AQ16" s="74">
        <v>300000</v>
      </c>
      <c r="AR16" s="74">
        <v>300000</v>
      </c>
      <c r="AS16" s="74">
        <v>300000</v>
      </c>
      <c r="AT16" s="74">
        <v>300000</v>
      </c>
      <c r="AU16" s="74">
        <v>300000</v>
      </c>
      <c r="AV16" s="82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96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96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96"/>
      <c r="EO16" s="95">
        <f t="shared" si="0"/>
        <v>0</v>
      </c>
      <c r="EP16" s="70">
        <v>0</v>
      </c>
      <c r="EQ16" s="13">
        <f t="shared" si="1"/>
        <v>0</v>
      </c>
      <c r="ER16" s="13"/>
      <c r="ES16" s="64"/>
      <c r="ET16" s="13"/>
      <c r="EU16" s="13"/>
      <c r="EV16" s="1"/>
      <c r="EW16" s="13"/>
      <c r="EX16" s="13"/>
      <c r="EY16" s="8"/>
      <c r="FE16" s="196"/>
      <c r="FF16" s="196"/>
      <c r="FK16" s="201"/>
    </row>
    <row r="17" spans="1:167" ht="21" outlineLevel="1" x14ac:dyDescent="0.55000000000000004">
      <c r="A17" s="32" t="s">
        <v>79</v>
      </c>
      <c r="B17" s="1" t="s">
        <v>148</v>
      </c>
      <c r="C17" s="1" t="s">
        <v>145</v>
      </c>
      <c r="D17" s="1" t="s">
        <v>108</v>
      </c>
      <c r="E17" s="77" t="s">
        <v>149</v>
      </c>
      <c r="F17" s="80" t="s">
        <v>147</v>
      </c>
      <c r="G17" s="2" t="s">
        <v>122</v>
      </c>
      <c r="N17" s="184"/>
      <c r="O17" s="97"/>
      <c r="P17" s="82">
        <v>0</v>
      </c>
      <c r="Q17" s="82">
        <v>0</v>
      </c>
      <c r="R17" s="80">
        <v>300000</v>
      </c>
      <c r="S17" s="80">
        <v>300000</v>
      </c>
      <c r="T17" s="80">
        <v>300000</v>
      </c>
      <c r="U17" s="80">
        <v>300000</v>
      </c>
      <c r="V17" s="80">
        <v>300000</v>
      </c>
      <c r="W17" s="74">
        <v>300000</v>
      </c>
      <c r="X17" s="74">
        <v>300000</v>
      </c>
      <c r="Y17" s="74">
        <v>300000</v>
      </c>
      <c r="Z17" s="74">
        <v>300000</v>
      </c>
      <c r="AA17" s="74">
        <v>300000</v>
      </c>
      <c r="AB17" s="74">
        <v>300000</v>
      </c>
      <c r="AC17" s="74">
        <v>300000</v>
      </c>
      <c r="AD17" s="74">
        <v>300000</v>
      </c>
      <c r="AE17" s="74">
        <v>300000</v>
      </c>
      <c r="AF17" s="74">
        <v>300000</v>
      </c>
      <c r="AG17" s="74">
        <v>300000</v>
      </c>
      <c r="AH17" s="74">
        <v>300000</v>
      </c>
      <c r="AI17" s="74">
        <v>300000</v>
      </c>
      <c r="AJ17" s="74">
        <v>300000</v>
      </c>
      <c r="AK17" s="74">
        <v>300000</v>
      </c>
      <c r="AL17" s="74">
        <v>300000</v>
      </c>
      <c r="AM17" s="74">
        <v>300000</v>
      </c>
      <c r="AN17" s="74">
        <v>300000</v>
      </c>
      <c r="AO17" s="74">
        <v>300000</v>
      </c>
      <c r="AP17" s="74">
        <v>300000</v>
      </c>
      <c r="AQ17" s="74">
        <v>300000</v>
      </c>
      <c r="AR17" s="74">
        <v>300000</v>
      </c>
      <c r="AS17" s="74">
        <v>300000</v>
      </c>
      <c r="AT17" s="74">
        <v>300000</v>
      </c>
      <c r="AU17" s="74">
        <v>300000</v>
      </c>
      <c r="AV17" s="82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96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96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96"/>
      <c r="EO17" s="95">
        <f t="shared" si="0"/>
        <v>0</v>
      </c>
      <c r="EP17" s="70">
        <v>0</v>
      </c>
      <c r="EQ17" s="13">
        <f t="shared" si="1"/>
        <v>0</v>
      </c>
      <c r="ER17" s="13"/>
      <c r="ES17" s="64"/>
      <c r="ET17" s="13"/>
      <c r="EU17" s="13"/>
      <c r="EV17" s="1"/>
      <c r="EW17" s="13"/>
      <c r="EX17" s="13"/>
      <c r="EY17" s="8"/>
      <c r="FE17" s="196"/>
      <c r="FF17" s="196"/>
      <c r="FK17" s="201"/>
    </row>
    <row r="18" spans="1:167" ht="21" outlineLevel="1" x14ac:dyDescent="0.55000000000000004">
      <c r="A18" s="32" t="s">
        <v>79</v>
      </c>
      <c r="B18" s="1" t="s">
        <v>150</v>
      </c>
      <c r="C18" s="1" t="s">
        <v>145</v>
      </c>
      <c r="D18" s="1" t="s">
        <v>108</v>
      </c>
      <c r="E18" s="77" t="s">
        <v>151</v>
      </c>
      <c r="F18" s="80" t="s">
        <v>147</v>
      </c>
      <c r="G18" s="2" t="s">
        <v>122</v>
      </c>
      <c r="N18" s="184"/>
      <c r="O18" s="97"/>
      <c r="P18" s="82">
        <v>0</v>
      </c>
      <c r="Q18" s="82">
        <v>0</v>
      </c>
      <c r="R18" s="80">
        <v>300000</v>
      </c>
      <c r="S18" s="80">
        <v>300000</v>
      </c>
      <c r="T18" s="80">
        <v>300000</v>
      </c>
      <c r="U18" s="80">
        <v>300000</v>
      </c>
      <c r="V18" s="80">
        <v>300000</v>
      </c>
      <c r="W18" s="74">
        <v>300000</v>
      </c>
      <c r="X18" s="74">
        <v>300000</v>
      </c>
      <c r="Y18" s="74">
        <v>300000</v>
      </c>
      <c r="Z18" s="74">
        <v>300000</v>
      </c>
      <c r="AA18" s="74">
        <v>300000</v>
      </c>
      <c r="AB18" s="74">
        <v>300000</v>
      </c>
      <c r="AC18" s="74">
        <v>300000</v>
      </c>
      <c r="AD18" s="74">
        <v>300000</v>
      </c>
      <c r="AE18" s="74">
        <v>300000</v>
      </c>
      <c r="AF18" s="74">
        <v>300000</v>
      </c>
      <c r="AG18" s="74">
        <v>300000</v>
      </c>
      <c r="AH18" s="74">
        <v>300000</v>
      </c>
      <c r="AI18" s="74">
        <v>300000</v>
      </c>
      <c r="AJ18" s="74">
        <v>300000</v>
      </c>
      <c r="AK18" s="74">
        <v>300000</v>
      </c>
      <c r="AL18" s="74">
        <v>300000</v>
      </c>
      <c r="AM18" s="74">
        <v>300000</v>
      </c>
      <c r="AN18" s="74">
        <v>300000</v>
      </c>
      <c r="AO18" s="74">
        <v>300000</v>
      </c>
      <c r="AP18" s="74">
        <v>300000</v>
      </c>
      <c r="AQ18" s="74">
        <v>300000</v>
      </c>
      <c r="AR18" s="74">
        <v>300000</v>
      </c>
      <c r="AS18" s="74">
        <v>300000</v>
      </c>
      <c r="AT18" s="74">
        <v>300000</v>
      </c>
      <c r="AU18" s="74">
        <v>300000</v>
      </c>
      <c r="AV18" s="82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96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96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96"/>
      <c r="EO18" s="95">
        <f t="shared" si="0"/>
        <v>0</v>
      </c>
      <c r="EP18" s="70">
        <v>0</v>
      </c>
      <c r="EQ18" s="13">
        <f t="shared" si="1"/>
        <v>0</v>
      </c>
      <c r="ER18" s="13"/>
      <c r="ES18" s="64"/>
      <c r="ET18" s="13"/>
      <c r="EU18" s="13"/>
      <c r="EV18" s="1"/>
      <c r="EW18" s="13"/>
      <c r="EX18" s="13"/>
      <c r="EY18" s="8"/>
      <c r="FE18" s="196"/>
      <c r="FF18" s="196"/>
      <c r="FK18" s="201"/>
    </row>
    <row r="19" spans="1:167" ht="21" outlineLevel="1" x14ac:dyDescent="0.55000000000000004">
      <c r="A19" s="32" t="s">
        <v>79</v>
      </c>
      <c r="B19" s="1" t="s">
        <v>152</v>
      </c>
      <c r="C19" s="1" t="s">
        <v>145</v>
      </c>
      <c r="D19" s="1" t="s">
        <v>108</v>
      </c>
      <c r="E19" s="77" t="s">
        <v>153</v>
      </c>
      <c r="F19" s="80" t="s">
        <v>147</v>
      </c>
      <c r="G19" s="2" t="s">
        <v>122</v>
      </c>
      <c r="N19" s="184"/>
      <c r="O19" s="97"/>
      <c r="P19" s="82">
        <v>0</v>
      </c>
      <c r="Q19" s="82">
        <v>0</v>
      </c>
      <c r="R19" s="80">
        <v>300000</v>
      </c>
      <c r="S19" s="80">
        <v>300000</v>
      </c>
      <c r="T19" s="80">
        <v>300000</v>
      </c>
      <c r="U19" s="80">
        <v>300000</v>
      </c>
      <c r="V19" s="80">
        <v>300000</v>
      </c>
      <c r="W19" s="74">
        <v>300000</v>
      </c>
      <c r="X19" s="74">
        <v>300000</v>
      </c>
      <c r="Y19" s="74">
        <v>300000</v>
      </c>
      <c r="Z19" s="74">
        <v>300000</v>
      </c>
      <c r="AA19" s="74">
        <v>300000</v>
      </c>
      <c r="AB19" s="74">
        <v>300000</v>
      </c>
      <c r="AC19" s="74">
        <v>300000</v>
      </c>
      <c r="AD19" s="74">
        <v>300000</v>
      </c>
      <c r="AE19" s="74">
        <v>300000</v>
      </c>
      <c r="AF19" s="74">
        <v>300000</v>
      </c>
      <c r="AG19" s="74">
        <v>300000</v>
      </c>
      <c r="AH19" s="74">
        <v>300000</v>
      </c>
      <c r="AI19" s="74">
        <v>300000</v>
      </c>
      <c r="AJ19" s="74">
        <v>300000</v>
      </c>
      <c r="AK19" s="74">
        <v>300000</v>
      </c>
      <c r="AL19" s="74">
        <v>300000</v>
      </c>
      <c r="AM19" s="74">
        <v>300000</v>
      </c>
      <c r="AN19" s="74">
        <v>300000</v>
      </c>
      <c r="AO19" s="74">
        <v>300000</v>
      </c>
      <c r="AP19" s="74">
        <v>300000</v>
      </c>
      <c r="AQ19" s="74">
        <v>300000</v>
      </c>
      <c r="AR19" s="74">
        <v>300000</v>
      </c>
      <c r="AS19" s="74">
        <v>300000</v>
      </c>
      <c r="AT19" s="74">
        <v>300000</v>
      </c>
      <c r="AU19" s="74">
        <v>300000</v>
      </c>
      <c r="AV19" s="82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96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  <c r="DA19" s="80"/>
      <c r="DB19" s="80"/>
      <c r="DC19" s="80"/>
      <c r="DD19" s="80"/>
      <c r="DE19" s="80"/>
      <c r="DF19" s="80"/>
      <c r="DG19" s="96"/>
      <c r="DH19" s="80"/>
      <c r="DI19" s="80"/>
      <c r="DJ19" s="80"/>
      <c r="DK19" s="80"/>
      <c r="DL19" s="80"/>
      <c r="DM19" s="80"/>
      <c r="DN19" s="80"/>
      <c r="DO19" s="80"/>
      <c r="DP19" s="80"/>
      <c r="DQ19" s="80"/>
      <c r="DR19" s="80"/>
      <c r="DS19" s="80"/>
      <c r="DT19" s="80"/>
      <c r="DU19" s="80"/>
      <c r="DV19" s="80"/>
      <c r="DW19" s="80"/>
      <c r="DX19" s="80"/>
      <c r="DY19" s="80"/>
      <c r="DZ19" s="80"/>
      <c r="EA19" s="80"/>
      <c r="EB19" s="80"/>
      <c r="EC19" s="80"/>
      <c r="ED19" s="80"/>
      <c r="EE19" s="80"/>
      <c r="EF19" s="80"/>
      <c r="EG19" s="80"/>
      <c r="EH19" s="80"/>
      <c r="EI19" s="80"/>
      <c r="EJ19" s="80"/>
      <c r="EK19" s="80"/>
      <c r="EL19" s="80"/>
      <c r="EM19" s="96"/>
      <c r="EO19" s="95">
        <f t="shared" si="0"/>
        <v>0</v>
      </c>
      <c r="EP19" s="70">
        <v>0</v>
      </c>
      <c r="EQ19" s="13">
        <f t="shared" si="1"/>
        <v>0</v>
      </c>
      <c r="ER19" s="13"/>
      <c r="ES19" s="64"/>
      <c r="ET19" s="13"/>
      <c r="EU19" s="13"/>
      <c r="EV19" s="1"/>
      <c r="EW19" s="13"/>
      <c r="EX19" s="13"/>
      <c r="EY19" s="8"/>
      <c r="FE19" s="196"/>
      <c r="FF19" s="196"/>
      <c r="FK19" s="201"/>
    </row>
    <row r="20" spans="1:167" ht="21" outlineLevel="1" x14ac:dyDescent="0.55000000000000004">
      <c r="A20" s="32" t="s">
        <v>79</v>
      </c>
      <c r="B20" s="1" t="s">
        <v>154</v>
      </c>
      <c r="C20" s="1" t="s">
        <v>145</v>
      </c>
      <c r="D20" s="1" t="s">
        <v>108</v>
      </c>
      <c r="E20" s="77" t="s">
        <v>153</v>
      </c>
      <c r="F20" s="80" t="s">
        <v>147</v>
      </c>
      <c r="G20" s="2" t="s">
        <v>122</v>
      </c>
      <c r="N20" s="184"/>
      <c r="O20" s="97"/>
      <c r="P20" s="82">
        <v>0</v>
      </c>
      <c r="Q20" s="82">
        <v>0</v>
      </c>
      <c r="R20" s="80">
        <v>300000</v>
      </c>
      <c r="S20" s="80">
        <v>300000</v>
      </c>
      <c r="T20" s="80">
        <v>300000</v>
      </c>
      <c r="U20" s="80">
        <v>300000</v>
      </c>
      <c r="V20" s="80">
        <v>300000</v>
      </c>
      <c r="W20" s="74">
        <v>300000</v>
      </c>
      <c r="X20" s="74">
        <v>300000</v>
      </c>
      <c r="Y20" s="74">
        <v>300000</v>
      </c>
      <c r="Z20" s="74">
        <v>300000</v>
      </c>
      <c r="AA20" s="74">
        <v>300000</v>
      </c>
      <c r="AB20" s="74">
        <v>300000</v>
      </c>
      <c r="AC20" s="74">
        <v>300000</v>
      </c>
      <c r="AD20" s="74">
        <v>300000</v>
      </c>
      <c r="AE20" s="74">
        <v>300000</v>
      </c>
      <c r="AF20" s="74">
        <v>300000</v>
      </c>
      <c r="AG20" s="74">
        <v>300000</v>
      </c>
      <c r="AH20" s="74">
        <v>300000</v>
      </c>
      <c r="AI20" s="74">
        <v>300000</v>
      </c>
      <c r="AJ20" s="74">
        <v>300000</v>
      </c>
      <c r="AK20" s="74">
        <v>300000</v>
      </c>
      <c r="AL20" s="74">
        <v>300000</v>
      </c>
      <c r="AM20" s="74">
        <v>300000</v>
      </c>
      <c r="AN20" s="74">
        <v>300000</v>
      </c>
      <c r="AO20" s="74">
        <v>300000</v>
      </c>
      <c r="AP20" s="74">
        <v>300000</v>
      </c>
      <c r="AQ20" s="74">
        <v>300000</v>
      </c>
      <c r="AR20" s="74">
        <v>300000</v>
      </c>
      <c r="AS20" s="74">
        <v>300000</v>
      </c>
      <c r="AT20" s="74">
        <v>300000</v>
      </c>
      <c r="AU20" s="74">
        <v>300000</v>
      </c>
      <c r="AV20" s="82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96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  <c r="DA20" s="80"/>
      <c r="DB20" s="80"/>
      <c r="DC20" s="80"/>
      <c r="DD20" s="80"/>
      <c r="DE20" s="80"/>
      <c r="DF20" s="80"/>
      <c r="DG20" s="96"/>
      <c r="DH20" s="80"/>
      <c r="DI20" s="80"/>
      <c r="DJ20" s="80"/>
      <c r="DK20" s="80"/>
      <c r="DL20" s="80"/>
      <c r="DM20" s="80"/>
      <c r="DN20" s="80"/>
      <c r="DO20" s="80"/>
      <c r="DP20" s="80"/>
      <c r="DQ20" s="80"/>
      <c r="DR20" s="80"/>
      <c r="DS20" s="80"/>
      <c r="DT20" s="80"/>
      <c r="DU20" s="80"/>
      <c r="DV20" s="80"/>
      <c r="DW20" s="80"/>
      <c r="DX20" s="80"/>
      <c r="DY20" s="80"/>
      <c r="DZ20" s="80"/>
      <c r="EA20" s="80"/>
      <c r="EB20" s="80"/>
      <c r="EC20" s="80"/>
      <c r="ED20" s="80"/>
      <c r="EE20" s="80"/>
      <c r="EF20" s="80"/>
      <c r="EG20" s="80"/>
      <c r="EH20" s="80"/>
      <c r="EI20" s="80"/>
      <c r="EJ20" s="80"/>
      <c r="EK20" s="80"/>
      <c r="EL20" s="80"/>
      <c r="EM20" s="96"/>
      <c r="EO20" s="95">
        <f t="shared" si="0"/>
        <v>0</v>
      </c>
      <c r="EP20" s="70">
        <v>0</v>
      </c>
      <c r="EQ20" s="13">
        <f t="shared" si="1"/>
        <v>0</v>
      </c>
      <c r="ER20" s="13"/>
      <c r="ES20" s="64"/>
      <c r="ET20" s="13"/>
      <c r="EU20" s="13"/>
      <c r="EV20" s="1"/>
      <c r="EW20" s="13"/>
      <c r="EX20" s="13"/>
      <c r="EY20" s="8"/>
      <c r="FE20" s="196"/>
      <c r="FF20" s="196"/>
      <c r="FK20" s="201"/>
    </row>
    <row r="21" spans="1:167" ht="21" outlineLevel="1" x14ac:dyDescent="0.55000000000000004">
      <c r="A21" s="32" t="s">
        <v>79</v>
      </c>
      <c r="B21" s="1" t="s">
        <v>155</v>
      </c>
      <c r="C21" s="1" t="s">
        <v>145</v>
      </c>
      <c r="D21" s="1" t="s">
        <v>108</v>
      </c>
      <c r="E21" s="77" t="s">
        <v>153</v>
      </c>
      <c r="F21" s="80" t="s">
        <v>147</v>
      </c>
      <c r="G21" s="2" t="s">
        <v>122</v>
      </c>
      <c r="N21" s="184"/>
      <c r="O21" s="97"/>
      <c r="P21" s="82">
        <v>0</v>
      </c>
      <c r="Q21" s="82">
        <v>0</v>
      </c>
      <c r="R21" s="80">
        <v>300000</v>
      </c>
      <c r="S21" s="80">
        <v>300000</v>
      </c>
      <c r="T21" s="80">
        <v>300000</v>
      </c>
      <c r="U21" s="80">
        <v>300000</v>
      </c>
      <c r="V21" s="80">
        <v>300000</v>
      </c>
      <c r="W21" s="74">
        <v>300000</v>
      </c>
      <c r="X21" s="74">
        <v>300000</v>
      </c>
      <c r="Y21" s="74">
        <v>300000</v>
      </c>
      <c r="Z21" s="74">
        <v>300000</v>
      </c>
      <c r="AA21" s="74">
        <v>300000</v>
      </c>
      <c r="AB21" s="74">
        <v>300000</v>
      </c>
      <c r="AC21" s="74">
        <v>300000</v>
      </c>
      <c r="AD21" s="74">
        <v>300000</v>
      </c>
      <c r="AE21" s="74">
        <v>300000</v>
      </c>
      <c r="AF21" s="74">
        <v>300000</v>
      </c>
      <c r="AG21" s="74">
        <v>300000</v>
      </c>
      <c r="AH21" s="74">
        <v>300000</v>
      </c>
      <c r="AI21" s="74">
        <v>300000</v>
      </c>
      <c r="AJ21" s="74">
        <v>300000</v>
      </c>
      <c r="AK21" s="74">
        <v>300000</v>
      </c>
      <c r="AL21" s="74">
        <v>300000</v>
      </c>
      <c r="AM21" s="74">
        <v>300000</v>
      </c>
      <c r="AN21" s="74">
        <v>300000</v>
      </c>
      <c r="AO21" s="74">
        <v>300000</v>
      </c>
      <c r="AP21" s="74">
        <v>300000</v>
      </c>
      <c r="AQ21" s="74">
        <v>300000</v>
      </c>
      <c r="AR21" s="74">
        <v>300000</v>
      </c>
      <c r="AS21" s="74">
        <v>300000</v>
      </c>
      <c r="AT21" s="74">
        <v>300000</v>
      </c>
      <c r="AU21" s="74">
        <v>300000</v>
      </c>
      <c r="AV21" s="82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96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  <c r="DA21" s="80"/>
      <c r="DB21" s="80"/>
      <c r="DC21" s="80"/>
      <c r="DD21" s="80"/>
      <c r="DE21" s="80"/>
      <c r="DF21" s="80"/>
      <c r="DG21" s="96"/>
      <c r="DH21" s="80"/>
      <c r="DI21" s="80"/>
      <c r="DJ21" s="80"/>
      <c r="DK21" s="80"/>
      <c r="DL21" s="80"/>
      <c r="DM21" s="80"/>
      <c r="DN21" s="80"/>
      <c r="DO21" s="80"/>
      <c r="DP21" s="80"/>
      <c r="DQ21" s="80"/>
      <c r="DR21" s="80"/>
      <c r="DS21" s="80"/>
      <c r="DT21" s="80"/>
      <c r="DU21" s="80"/>
      <c r="DV21" s="80"/>
      <c r="DW21" s="80"/>
      <c r="DX21" s="80"/>
      <c r="DY21" s="80"/>
      <c r="DZ21" s="80"/>
      <c r="EA21" s="80"/>
      <c r="EB21" s="80"/>
      <c r="EC21" s="80"/>
      <c r="ED21" s="80"/>
      <c r="EE21" s="80"/>
      <c r="EF21" s="80"/>
      <c r="EG21" s="80"/>
      <c r="EH21" s="80"/>
      <c r="EI21" s="80"/>
      <c r="EJ21" s="80"/>
      <c r="EK21" s="80"/>
      <c r="EL21" s="80"/>
      <c r="EM21" s="96"/>
      <c r="EO21" s="95">
        <f t="shared" si="0"/>
        <v>0</v>
      </c>
      <c r="EP21" s="70">
        <v>0</v>
      </c>
      <c r="EQ21" s="13">
        <f t="shared" si="1"/>
        <v>0</v>
      </c>
      <c r="ER21" s="13"/>
      <c r="ES21" s="64"/>
      <c r="ET21" s="13"/>
      <c r="EU21" s="13"/>
      <c r="EV21" s="1"/>
      <c r="EW21" s="13"/>
      <c r="EX21" s="13"/>
      <c r="EY21" s="8"/>
      <c r="FE21" s="196"/>
      <c r="FF21" s="196"/>
      <c r="FK21" s="201"/>
    </row>
    <row r="22" spans="1:167" ht="21" outlineLevel="1" x14ac:dyDescent="0.55000000000000004">
      <c r="A22" s="32" t="s">
        <v>79</v>
      </c>
      <c r="B22" s="1" t="s">
        <v>156</v>
      </c>
      <c r="C22" s="1" t="s">
        <v>145</v>
      </c>
      <c r="D22" s="1" t="s">
        <v>108</v>
      </c>
      <c r="E22" s="77" t="s">
        <v>153</v>
      </c>
      <c r="F22" s="80" t="s">
        <v>147</v>
      </c>
      <c r="G22" s="2" t="s">
        <v>122</v>
      </c>
      <c r="N22" s="184"/>
      <c r="O22" s="97"/>
      <c r="P22" s="82">
        <v>0</v>
      </c>
      <c r="Q22" s="82">
        <v>0</v>
      </c>
      <c r="R22" s="80">
        <v>300000</v>
      </c>
      <c r="S22" s="80">
        <v>300000</v>
      </c>
      <c r="T22" s="80">
        <v>300000</v>
      </c>
      <c r="U22" s="80">
        <v>300000</v>
      </c>
      <c r="V22" s="80">
        <v>300000</v>
      </c>
      <c r="W22" s="74">
        <v>300000</v>
      </c>
      <c r="X22" s="74">
        <v>300000</v>
      </c>
      <c r="Y22" s="74">
        <v>300000</v>
      </c>
      <c r="Z22" s="74">
        <v>300000</v>
      </c>
      <c r="AA22" s="74">
        <v>300000</v>
      </c>
      <c r="AB22" s="74">
        <v>300000</v>
      </c>
      <c r="AC22" s="74">
        <v>300000</v>
      </c>
      <c r="AD22" s="74">
        <v>300000</v>
      </c>
      <c r="AE22" s="74">
        <v>300000</v>
      </c>
      <c r="AF22" s="74">
        <v>300000</v>
      </c>
      <c r="AG22" s="74">
        <v>300000</v>
      </c>
      <c r="AH22" s="74">
        <v>300000</v>
      </c>
      <c r="AI22" s="74">
        <v>300000</v>
      </c>
      <c r="AJ22" s="74">
        <v>300000</v>
      </c>
      <c r="AK22" s="74">
        <v>300000</v>
      </c>
      <c r="AL22" s="74">
        <v>300000</v>
      </c>
      <c r="AM22" s="74">
        <v>300000</v>
      </c>
      <c r="AN22" s="74">
        <v>300000</v>
      </c>
      <c r="AO22" s="74">
        <v>300000</v>
      </c>
      <c r="AP22" s="74">
        <v>300000</v>
      </c>
      <c r="AQ22" s="74">
        <v>300000</v>
      </c>
      <c r="AR22" s="74">
        <v>300000</v>
      </c>
      <c r="AS22" s="74">
        <v>300000</v>
      </c>
      <c r="AT22" s="74">
        <v>300000</v>
      </c>
      <c r="AU22" s="74">
        <v>300000</v>
      </c>
      <c r="AV22" s="82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96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  <c r="DA22" s="80"/>
      <c r="DB22" s="80"/>
      <c r="DC22" s="80"/>
      <c r="DD22" s="80"/>
      <c r="DE22" s="80"/>
      <c r="DF22" s="80"/>
      <c r="DG22" s="96"/>
      <c r="DH22" s="80"/>
      <c r="DI22" s="80"/>
      <c r="DJ22" s="80"/>
      <c r="DK22" s="80"/>
      <c r="DL22" s="80"/>
      <c r="DM22" s="80"/>
      <c r="DN22" s="80"/>
      <c r="DO22" s="80"/>
      <c r="DP22" s="80"/>
      <c r="DQ22" s="80"/>
      <c r="DR22" s="80"/>
      <c r="DS22" s="80"/>
      <c r="DT22" s="80"/>
      <c r="DU22" s="80"/>
      <c r="DV22" s="80"/>
      <c r="DW22" s="80"/>
      <c r="DX22" s="80"/>
      <c r="DY22" s="80"/>
      <c r="DZ22" s="80"/>
      <c r="EA22" s="80"/>
      <c r="EB22" s="80"/>
      <c r="EC22" s="80"/>
      <c r="ED22" s="80"/>
      <c r="EE22" s="80"/>
      <c r="EF22" s="80"/>
      <c r="EG22" s="80"/>
      <c r="EH22" s="80"/>
      <c r="EI22" s="80"/>
      <c r="EJ22" s="80"/>
      <c r="EK22" s="80"/>
      <c r="EL22" s="80"/>
      <c r="EM22" s="96"/>
      <c r="EO22" s="95">
        <f t="shared" si="0"/>
        <v>0</v>
      </c>
      <c r="EP22" s="70">
        <v>0</v>
      </c>
      <c r="EQ22" s="13">
        <f t="shared" si="1"/>
        <v>0</v>
      </c>
      <c r="ER22" s="13"/>
      <c r="ES22" s="64"/>
      <c r="ET22" s="13"/>
      <c r="EU22" s="13"/>
      <c r="EV22" s="1"/>
      <c r="EW22" s="13"/>
      <c r="EX22" s="13"/>
      <c r="EY22" s="8"/>
      <c r="FE22" s="196"/>
      <c r="FF22" s="196"/>
      <c r="FK22" s="201"/>
    </row>
    <row r="23" spans="1:167" ht="21" customHeight="1" outlineLevel="1" x14ac:dyDescent="0.55000000000000004">
      <c r="A23" s="32" t="s">
        <v>157</v>
      </c>
      <c r="B23" s="1" t="s">
        <v>112</v>
      </c>
      <c r="C23" s="1" t="s">
        <v>158</v>
      </c>
      <c r="D23" s="1" t="s">
        <v>89</v>
      </c>
      <c r="E23" s="77" t="s">
        <v>159</v>
      </c>
      <c r="F23" s="80" t="s">
        <v>160</v>
      </c>
      <c r="G23" s="74" t="s">
        <v>9</v>
      </c>
      <c r="H23" s="202">
        <v>0.25</v>
      </c>
      <c r="I23" s="43"/>
      <c r="J23" s="43"/>
      <c r="K23" s="43"/>
      <c r="L23" s="43"/>
      <c r="M23" s="43"/>
      <c r="N23" s="184"/>
      <c r="O23" s="97"/>
      <c r="P23" s="82">
        <v>0</v>
      </c>
      <c r="Q23" s="82">
        <v>0</v>
      </c>
      <c r="R23" s="91"/>
      <c r="S23" s="91"/>
      <c r="T23" s="91"/>
      <c r="U23" s="91"/>
      <c r="V23" s="91"/>
      <c r="W23" s="74"/>
      <c r="X23" s="74"/>
      <c r="Y23" s="43"/>
      <c r="Z23" s="43"/>
      <c r="AA23" s="43"/>
      <c r="AB23" s="43"/>
      <c r="AC23" s="43"/>
      <c r="AD23" s="74"/>
      <c r="AE23" s="74"/>
      <c r="AF23" s="43"/>
      <c r="AG23" s="43"/>
      <c r="AH23" s="43"/>
      <c r="AI23" s="43"/>
      <c r="AJ23" s="43"/>
      <c r="AK23" s="74"/>
      <c r="AL23" s="74"/>
      <c r="AM23" s="43"/>
      <c r="AN23" s="43"/>
      <c r="AO23" s="43"/>
      <c r="AP23" s="43"/>
      <c r="AQ23" s="43"/>
      <c r="AR23" s="74"/>
      <c r="AS23" s="74"/>
      <c r="AT23" s="43"/>
      <c r="AU23" s="43"/>
      <c r="AV23" s="82">
        <v>2000000</v>
      </c>
      <c r="AW23" s="43"/>
      <c r="AX23" s="43"/>
      <c r="AY23" s="43"/>
      <c r="AZ23" s="74"/>
      <c r="BA23" s="74"/>
      <c r="BB23" s="43"/>
      <c r="BC23" s="43"/>
      <c r="BD23" s="43"/>
      <c r="BE23" s="43"/>
      <c r="BF23" s="43"/>
      <c r="BG23" s="74"/>
      <c r="BH23" s="74"/>
      <c r="BI23" s="43"/>
      <c r="BJ23" s="43"/>
      <c r="BK23" s="43"/>
      <c r="BL23" s="43"/>
      <c r="BM23" s="43"/>
      <c r="BN23" s="74"/>
      <c r="BO23" s="74"/>
      <c r="BP23" s="43"/>
      <c r="BQ23" s="43"/>
      <c r="BR23" s="43"/>
      <c r="BS23" s="43"/>
      <c r="BT23" s="43"/>
      <c r="BU23" s="74"/>
      <c r="BV23" s="74"/>
      <c r="BW23" s="43"/>
      <c r="BX23" s="43"/>
      <c r="BY23" s="43"/>
      <c r="BZ23" s="43"/>
      <c r="CA23" s="43"/>
      <c r="CB23" s="96">
        <v>2000000</v>
      </c>
      <c r="CC23" s="91"/>
      <c r="CD23" s="91"/>
      <c r="CE23" s="91"/>
      <c r="CF23" s="91"/>
      <c r="CG23" s="91"/>
      <c r="CH23" s="92"/>
      <c r="CI23" s="92"/>
      <c r="CJ23" s="91"/>
      <c r="CK23" s="91"/>
      <c r="CL23" s="91"/>
      <c r="CM23" s="91"/>
      <c r="CN23" s="91"/>
      <c r="CO23" s="92"/>
      <c r="CP23" s="92"/>
      <c r="CQ23" s="91"/>
      <c r="CR23" s="91"/>
      <c r="CS23" s="91"/>
      <c r="CT23" s="91"/>
      <c r="CU23" s="91"/>
      <c r="CV23" s="92"/>
      <c r="CW23" s="92"/>
      <c r="CX23" s="91"/>
      <c r="CY23" s="91"/>
      <c r="CZ23" s="91"/>
      <c r="DA23" s="91"/>
      <c r="DB23" s="91"/>
      <c r="DC23" s="92"/>
      <c r="DD23" s="92"/>
      <c r="DE23" s="91"/>
      <c r="DF23" s="91"/>
      <c r="DG23" s="96">
        <v>2000000</v>
      </c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DY23" s="91"/>
      <c r="DZ23" s="91"/>
      <c r="EA23" s="91"/>
      <c r="EB23" s="91"/>
      <c r="EC23" s="91"/>
      <c r="ED23" s="91"/>
      <c r="EE23" s="91"/>
      <c r="EF23" s="91"/>
      <c r="EG23" s="91"/>
      <c r="EH23" s="91"/>
      <c r="EI23" s="91"/>
      <c r="EJ23" s="91"/>
      <c r="EK23" s="91"/>
      <c r="EL23" s="91"/>
      <c r="EM23" s="96">
        <v>2000000</v>
      </c>
      <c r="EO23" s="95">
        <f t="shared" si="0"/>
        <v>8000000</v>
      </c>
      <c r="EP23" s="70">
        <v>8000000</v>
      </c>
      <c r="EQ23" s="13">
        <f t="shared" si="1"/>
        <v>0</v>
      </c>
      <c r="ER23" s="13"/>
      <c r="ES23" s="65"/>
      <c r="ET23" s="13"/>
      <c r="EU23" s="13"/>
      <c r="EV23" s="13"/>
      <c r="EW23" s="13"/>
      <c r="EX23" s="13"/>
      <c r="EY23" s="8"/>
      <c r="FE23" s="196"/>
      <c r="FF23" s="196"/>
      <c r="FK23" s="201"/>
    </row>
    <row r="24" spans="1:167" ht="21" customHeight="1" outlineLevel="1" x14ac:dyDescent="0.55000000000000004">
      <c r="A24" s="32" t="s">
        <v>157</v>
      </c>
      <c r="B24" s="29" t="s">
        <v>87</v>
      </c>
      <c r="C24" s="29" t="s">
        <v>161</v>
      </c>
      <c r="D24" s="1" t="s">
        <v>108</v>
      </c>
      <c r="E24" s="77" t="s">
        <v>137</v>
      </c>
      <c r="F24" s="80" t="s">
        <v>162</v>
      </c>
      <c r="G24" s="74" t="s">
        <v>9</v>
      </c>
      <c r="H24" s="202">
        <v>0.49</v>
      </c>
      <c r="I24" s="43"/>
      <c r="J24" s="43"/>
      <c r="K24" s="43"/>
      <c r="L24" s="43"/>
      <c r="M24" s="43"/>
      <c r="N24" s="184"/>
      <c r="O24" s="97"/>
      <c r="P24" s="82">
        <v>0</v>
      </c>
      <c r="Q24" s="82">
        <v>1200000</v>
      </c>
      <c r="R24" s="91"/>
      <c r="S24" s="91"/>
      <c r="T24" s="91"/>
      <c r="U24" s="91"/>
      <c r="V24" s="91"/>
      <c r="W24" s="74"/>
      <c r="X24" s="74"/>
      <c r="Y24" s="43"/>
      <c r="Z24" s="43"/>
      <c r="AA24" s="43"/>
      <c r="AB24" s="43"/>
      <c r="AC24" s="43"/>
      <c r="AD24" s="74"/>
      <c r="AE24" s="74"/>
      <c r="AF24" s="43"/>
      <c r="AG24" s="43"/>
      <c r="AH24" s="43"/>
      <c r="AI24" s="43"/>
      <c r="AJ24" s="43"/>
      <c r="AK24" s="74"/>
      <c r="AL24" s="74"/>
      <c r="AM24" s="43"/>
      <c r="AN24" s="43"/>
      <c r="AO24" s="43"/>
      <c r="AP24" s="43"/>
      <c r="AQ24" s="43"/>
      <c r="AR24" s="74"/>
      <c r="AS24" s="74"/>
      <c r="AT24" s="43"/>
      <c r="AU24" s="43"/>
      <c r="AV24" s="82">
        <v>2280000</v>
      </c>
      <c r="AW24" s="43"/>
      <c r="AX24" s="43"/>
      <c r="AY24" s="43"/>
      <c r="AZ24" s="74"/>
      <c r="BA24" s="74"/>
      <c r="BB24" s="43"/>
      <c r="BC24" s="43"/>
      <c r="BD24" s="43"/>
      <c r="BE24" s="43"/>
      <c r="BF24" s="43"/>
      <c r="BG24" s="74"/>
      <c r="BH24" s="74"/>
      <c r="BI24" s="43"/>
      <c r="BJ24" s="43"/>
      <c r="BK24" s="43"/>
      <c r="BL24" s="43"/>
      <c r="BM24" s="43"/>
      <c r="BN24" s="74"/>
      <c r="BO24" s="74"/>
      <c r="BP24" s="43"/>
      <c r="BQ24" s="43"/>
      <c r="BR24" s="43"/>
      <c r="BS24" s="43"/>
      <c r="BT24" s="43"/>
      <c r="BU24" s="74"/>
      <c r="BV24" s="74"/>
      <c r="BW24" s="43"/>
      <c r="BX24" s="43"/>
      <c r="BY24" s="43"/>
      <c r="BZ24" s="43"/>
      <c r="CA24" s="43"/>
      <c r="CB24" s="96">
        <v>1880000</v>
      </c>
      <c r="CC24" s="91"/>
      <c r="CD24" s="91"/>
      <c r="CE24" s="91"/>
      <c r="CF24" s="91"/>
      <c r="CG24" s="91"/>
      <c r="CH24" s="92"/>
      <c r="CI24" s="92"/>
      <c r="CJ24" s="91"/>
      <c r="CK24" s="91"/>
      <c r="CL24" s="91"/>
      <c r="CM24" s="91"/>
      <c r="CN24" s="91"/>
      <c r="CO24" s="92"/>
      <c r="CP24" s="92"/>
      <c r="CQ24" s="91"/>
      <c r="CR24" s="91"/>
      <c r="CS24" s="91"/>
      <c r="CT24" s="91"/>
      <c r="CU24" s="91"/>
      <c r="CV24" s="92"/>
      <c r="CW24" s="92"/>
      <c r="CX24" s="91"/>
      <c r="CY24" s="91"/>
      <c r="CZ24" s="91"/>
      <c r="DA24" s="91"/>
      <c r="DB24" s="91"/>
      <c r="DC24" s="92"/>
      <c r="DD24" s="92"/>
      <c r="DE24" s="91"/>
      <c r="DF24" s="91"/>
      <c r="DG24" s="96">
        <v>1880000</v>
      </c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91"/>
      <c r="EM24" s="96">
        <v>1880000</v>
      </c>
      <c r="EO24" s="95">
        <f t="shared" si="0"/>
        <v>9120000</v>
      </c>
      <c r="EP24" s="70">
        <v>9120000</v>
      </c>
      <c r="EQ24" s="13">
        <f t="shared" si="1"/>
        <v>0</v>
      </c>
      <c r="ER24" s="13"/>
      <c r="ES24" s="65"/>
      <c r="ET24" s="13"/>
      <c r="EU24" s="13"/>
      <c r="EV24" s="13"/>
      <c r="EW24" s="13"/>
      <c r="EX24" s="13"/>
      <c r="EY24" s="8"/>
      <c r="FE24" s="196"/>
      <c r="FF24" s="196"/>
      <c r="FK24" s="201"/>
    </row>
    <row r="25" spans="1:167" ht="21" customHeight="1" outlineLevel="1" x14ac:dyDescent="0.55000000000000004">
      <c r="A25" s="32" t="s">
        <v>157</v>
      </c>
      <c r="B25" s="1" t="s">
        <v>131</v>
      </c>
      <c r="C25" s="1" t="s">
        <v>163</v>
      </c>
      <c r="D25" s="1" t="s">
        <v>108</v>
      </c>
      <c r="E25" s="77" t="s">
        <v>141</v>
      </c>
      <c r="F25" s="80" t="s">
        <v>164</v>
      </c>
      <c r="G25" s="74" t="s">
        <v>9</v>
      </c>
      <c r="I25" s="43"/>
      <c r="J25" s="43"/>
      <c r="K25" s="43"/>
      <c r="L25" s="43"/>
      <c r="M25" s="43"/>
      <c r="N25" s="184"/>
      <c r="O25" s="97"/>
      <c r="P25" s="82"/>
      <c r="Q25" s="82"/>
      <c r="R25" s="91"/>
      <c r="S25" s="91"/>
      <c r="T25" s="91"/>
      <c r="U25" s="91"/>
      <c r="V25" s="91"/>
      <c r="W25" s="74"/>
      <c r="X25" s="74"/>
      <c r="Y25" s="43"/>
      <c r="Z25" s="43"/>
      <c r="AA25" s="43"/>
      <c r="AB25" s="43"/>
      <c r="AC25" s="43"/>
      <c r="AD25" s="74"/>
      <c r="AE25" s="74"/>
      <c r="AF25" s="43"/>
      <c r="AG25" s="43"/>
      <c r="AH25" s="43"/>
      <c r="AI25" s="43"/>
      <c r="AJ25" s="43"/>
      <c r="AK25" s="74"/>
      <c r="AL25" s="74"/>
      <c r="AM25" s="43"/>
      <c r="AN25" s="43"/>
      <c r="AO25" s="43"/>
      <c r="AP25" s="43"/>
      <c r="AQ25" s="43"/>
      <c r="AR25" s="74"/>
      <c r="AS25" s="74"/>
      <c r="AT25" s="43"/>
      <c r="AU25" s="43"/>
      <c r="AV25" s="82">
        <v>175000</v>
      </c>
      <c r="AW25" s="43"/>
      <c r="AX25" s="43"/>
      <c r="AY25" s="43"/>
      <c r="AZ25" s="74"/>
      <c r="BA25" s="74"/>
      <c r="BB25" s="43"/>
      <c r="BC25" s="43"/>
      <c r="BD25" s="43"/>
      <c r="BE25" s="43"/>
      <c r="BF25" s="43"/>
      <c r="BG25" s="74"/>
      <c r="BH25" s="74"/>
      <c r="BI25" s="43"/>
      <c r="BJ25" s="43"/>
      <c r="BK25" s="43"/>
      <c r="BL25" s="43"/>
      <c r="BM25" s="43"/>
      <c r="BN25" s="74"/>
      <c r="BO25" s="74"/>
      <c r="BP25" s="43"/>
      <c r="BQ25" s="43"/>
      <c r="BR25" s="43"/>
      <c r="BS25" s="43"/>
      <c r="BT25" s="43"/>
      <c r="BU25" s="74"/>
      <c r="BV25" s="74"/>
      <c r="BW25" s="43"/>
      <c r="BX25" s="43"/>
      <c r="BY25" s="43"/>
      <c r="BZ25" s="43"/>
      <c r="CA25" s="43"/>
      <c r="CB25" s="96"/>
      <c r="CC25" s="91"/>
      <c r="CD25" s="91"/>
      <c r="CE25" s="91"/>
      <c r="CF25" s="91"/>
      <c r="CG25" s="91"/>
      <c r="CH25" s="92"/>
      <c r="CI25" s="92"/>
      <c r="CJ25" s="91"/>
      <c r="CK25" s="91"/>
      <c r="CL25" s="91"/>
      <c r="CM25" s="91"/>
      <c r="CN25" s="91"/>
      <c r="CO25" s="92"/>
      <c r="CP25" s="92"/>
      <c r="CQ25" s="91"/>
      <c r="CR25" s="91"/>
      <c r="CS25" s="91"/>
      <c r="CT25" s="91"/>
      <c r="CU25" s="91"/>
      <c r="CV25" s="92"/>
      <c r="CW25" s="92"/>
      <c r="CX25" s="91"/>
      <c r="CY25" s="91"/>
      <c r="CZ25" s="91"/>
      <c r="DA25" s="91"/>
      <c r="DB25" s="91"/>
      <c r="DC25" s="92"/>
      <c r="DD25" s="92"/>
      <c r="DE25" s="91"/>
      <c r="DF25" s="91"/>
      <c r="DG25" s="96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6"/>
      <c r="EO25" s="95">
        <f t="shared" si="0"/>
        <v>175000</v>
      </c>
      <c r="EP25" s="70">
        <v>175000</v>
      </c>
      <c r="EQ25" s="13">
        <f t="shared" si="1"/>
        <v>0</v>
      </c>
      <c r="ER25" s="13"/>
      <c r="ES25" s="65"/>
      <c r="ET25" s="13"/>
      <c r="EU25" s="13"/>
      <c r="EV25" s="13"/>
      <c r="EW25" s="13"/>
      <c r="EX25" s="13"/>
      <c r="EY25" s="8"/>
      <c r="FE25" s="196"/>
      <c r="FF25" s="196"/>
      <c r="FK25" s="201"/>
    </row>
    <row r="26" spans="1:167" ht="21" customHeight="1" outlineLevel="1" x14ac:dyDescent="0.55000000000000004">
      <c r="A26" s="32" t="s">
        <v>157</v>
      </c>
      <c r="B26" s="180" t="s">
        <v>165</v>
      </c>
      <c r="E26" s="78"/>
      <c r="F26" s="81"/>
      <c r="G26" s="43"/>
      <c r="I26" s="180">
        <v>2500050</v>
      </c>
      <c r="J26" s="180">
        <v>12150000</v>
      </c>
      <c r="K26" s="180">
        <v>8457600</v>
      </c>
      <c r="L26" s="180">
        <v>7093924.5</v>
      </c>
      <c r="M26" s="180">
        <v>8629289.5</v>
      </c>
      <c r="N26" s="189">
        <v>7350167.5</v>
      </c>
      <c r="O26" s="193">
        <f>SUM(I26:N26)</f>
        <v>46181031.5</v>
      </c>
      <c r="P26" s="184"/>
      <c r="Q26" s="184"/>
      <c r="R26" s="183"/>
      <c r="S26" s="183"/>
      <c r="T26" s="183"/>
      <c r="U26" s="183"/>
      <c r="V26" s="18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184"/>
      <c r="AW26" s="43"/>
      <c r="AX26" s="43"/>
      <c r="AY26" s="43"/>
      <c r="AZ26" s="74"/>
      <c r="BA26" s="74"/>
      <c r="BB26" s="43"/>
      <c r="BC26" s="43"/>
      <c r="BD26" s="43"/>
      <c r="BE26" s="43"/>
      <c r="BF26" s="43"/>
      <c r="BG26" s="74"/>
      <c r="BH26" s="74"/>
      <c r="BI26" s="43"/>
      <c r="BJ26" s="43"/>
      <c r="BK26" s="43"/>
      <c r="BL26" s="43"/>
      <c r="BM26" s="43"/>
      <c r="BN26" s="74"/>
      <c r="BO26" s="74"/>
      <c r="BP26" s="43"/>
      <c r="BQ26" s="43"/>
      <c r="BR26" s="43"/>
      <c r="BS26" s="43"/>
      <c r="BT26" s="43"/>
      <c r="BU26" s="74"/>
      <c r="BV26" s="74"/>
      <c r="BW26" s="43"/>
      <c r="BX26" s="43"/>
      <c r="BY26" s="43"/>
      <c r="BZ26" s="43"/>
      <c r="CA26" s="43"/>
      <c r="CB26" s="96"/>
      <c r="CC26" s="91"/>
      <c r="CD26" s="91"/>
      <c r="CE26" s="91"/>
      <c r="CF26" s="91"/>
      <c r="CG26" s="91"/>
      <c r="CH26" s="92"/>
      <c r="CI26" s="92"/>
      <c r="CJ26" s="91"/>
      <c r="CK26" s="91"/>
      <c r="CL26" s="91"/>
      <c r="CM26" s="91"/>
      <c r="CN26" s="91"/>
      <c r="CO26" s="92"/>
      <c r="CP26" s="92"/>
      <c r="CQ26" s="91"/>
      <c r="CR26" s="91"/>
      <c r="CS26" s="91"/>
      <c r="CT26" s="91"/>
      <c r="CU26" s="91"/>
      <c r="CV26" s="92"/>
      <c r="CW26" s="92"/>
      <c r="CX26" s="91"/>
      <c r="CY26" s="91"/>
      <c r="CZ26" s="91"/>
      <c r="DA26" s="91"/>
      <c r="DB26" s="91"/>
      <c r="DC26" s="92"/>
      <c r="DD26" s="92"/>
      <c r="DE26" s="91"/>
      <c r="DF26" s="91"/>
      <c r="DG26" s="97"/>
      <c r="DH26" s="183"/>
      <c r="DI26" s="183"/>
      <c r="DJ26" s="183"/>
      <c r="DK26" s="183"/>
      <c r="DL26" s="183"/>
      <c r="DM26" s="183"/>
      <c r="DN26" s="183"/>
      <c r="DO26" s="183"/>
      <c r="DP26" s="183"/>
      <c r="DQ26" s="183"/>
      <c r="DR26" s="183"/>
      <c r="DS26" s="183"/>
      <c r="DT26" s="183"/>
      <c r="DU26" s="183"/>
      <c r="DV26" s="183"/>
      <c r="DW26" s="183"/>
      <c r="DX26" s="183"/>
      <c r="DY26" s="183"/>
      <c r="DZ26" s="183"/>
      <c r="EA26" s="183"/>
      <c r="EB26" s="183"/>
      <c r="EC26" s="183"/>
      <c r="ED26" s="183"/>
      <c r="EE26" s="183"/>
      <c r="EF26" s="183"/>
      <c r="EG26" s="183"/>
      <c r="EH26" s="183"/>
      <c r="EI26" s="183"/>
      <c r="EJ26" s="183"/>
      <c r="EK26" s="183"/>
      <c r="EL26" s="183"/>
      <c r="EM26" s="97"/>
      <c r="EP26" s="70"/>
      <c r="EQ26" s="13"/>
      <c r="ER26" s="13"/>
      <c r="ES26" s="65"/>
      <c r="ET26" s="13"/>
      <c r="EU26" s="13"/>
      <c r="EV26" s="13"/>
      <c r="EW26" s="13"/>
      <c r="EX26" s="13"/>
      <c r="EY26" s="8"/>
      <c r="FE26" s="196"/>
      <c r="FF26" s="196"/>
      <c r="FK26" s="201"/>
    </row>
    <row r="27" spans="1:167" ht="21" customHeight="1" thickBot="1" x14ac:dyDescent="0.6">
      <c r="A27" s="40" t="s">
        <v>157</v>
      </c>
      <c r="B27" s="72" t="s">
        <v>112</v>
      </c>
      <c r="C27" s="72" t="s">
        <v>166</v>
      </c>
      <c r="D27" s="72" t="s">
        <v>108</v>
      </c>
      <c r="E27" s="100" t="s">
        <v>159</v>
      </c>
      <c r="F27" s="101" t="s">
        <v>167</v>
      </c>
      <c r="G27" s="75" t="s">
        <v>9</v>
      </c>
      <c r="H27" s="206">
        <v>0.2</v>
      </c>
      <c r="I27" s="190"/>
      <c r="J27" s="190"/>
      <c r="K27" s="190"/>
      <c r="L27" s="190"/>
      <c r="M27" s="190"/>
      <c r="N27" s="191"/>
      <c r="O27" s="195"/>
      <c r="P27" s="104"/>
      <c r="Q27" s="104"/>
      <c r="R27" s="105"/>
      <c r="S27" s="105"/>
      <c r="T27" s="105"/>
      <c r="U27" s="105"/>
      <c r="V27" s="105"/>
      <c r="W27" s="75"/>
      <c r="X27" s="75"/>
      <c r="Y27" s="72"/>
      <c r="Z27" s="72"/>
      <c r="AA27" s="72"/>
      <c r="AB27" s="72"/>
      <c r="AC27" s="72"/>
      <c r="AD27" s="75"/>
      <c r="AE27" s="75"/>
      <c r="AF27" s="72"/>
      <c r="AG27" s="72"/>
      <c r="AH27" s="72"/>
      <c r="AI27" s="72"/>
      <c r="AJ27" s="72"/>
      <c r="AK27" s="75"/>
      <c r="AL27" s="75"/>
      <c r="AM27" s="72"/>
      <c r="AN27" s="72"/>
      <c r="AO27" s="72"/>
      <c r="AP27" s="72"/>
      <c r="AQ27" s="72"/>
      <c r="AR27" s="75"/>
      <c r="AS27" s="75"/>
      <c r="AT27" s="72"/>
      <c r="AU27" s="72"/>
      <c r="AV27" s="104">
        <v>2000000</v>
      </c>
      <c r="AW27" s="72"/>
      <c r="AX27" s="72"/>
      <c r="AY27" s="72"/>
      <c r="AZ27" s="75"/>
      <c r="BA27" s="75"/>
      <c r="BB27" s="72"/>
      <c r="BC27" s="72"/>
      <c r="BD27" s="72"/>
      <c r="BE27" s="72"/>
      <c r="BF27" s="72"/>
      <c r="BG27" s="75"/>
      <c r="BH27" s="75"/>
      <c r="BI27" s="72"/>
      <c r="BJ27" s="72"/>
      <c r="BK27" s="72"/>
      <c r="BL27" s="72"/>
      <c r="BM27" s="72"/>
      <c r="BN27" s="75"/>
      <c r="BO27" s="75"/>
      <c r="BP27" s="72"/>
      <c r="BQ27" s="72"/>
      <c r="BR27" s="72"/>
      <c r="BS27" s="72"/>
      <c r="BT27" s="72"/>
      <c r="BU27" s="75"/>
      <c r="BV27" s="75"/>
      <c r="BW27" s="72"/>
      <c r="BX27" s="72"/>
      <c r="BY27" s="72"/>
      <c r="BZ27" s="72"/>
      <c r="CA27" s="72"/>
      <c r="CB27" s="106">
        <v>2000000</v>
      </c>
      <c r="CC27" s="105"/>
      <c r="CD27" s="105"/>
      <c r="CE27" s="105"/>
      <c r="CF27" s="105"/>
      <c r="CG27" s="105"/>
      <c r="CH27" s="101"/>
      <c r="CI27" s="101"/>
      <c r="CJ27" s="105"/>
      <c r="CK27" s="105"/>
      <c r="CL27" s="105"/>
      <c r="CM27" s="105"/>
      <c r="CN27" s="105"/>
      <c r="CO27" s="101"/>
      <c r="CP27" s="101"/>
      <c r="CQ27" s="105"/>
      <c r="CR27" s="105"/>
      <c r="CS27" s="105"/>
      <c r="CT27" s="105"/>
      <c r="CU27" s="105"/>
      <c r="CV27" s="101"/>
      <c r="CW27" s="101"/>
      <c r="CX27" s="105"/>
      <c r="CY27" s="105"/>
      <c r="CZ27" s="105"/>
      <c r="DA27" s="105"/>
      <c r="DB27" s="105"/>
      <c r="DC27" s="101"/>
      <c r="DD27" s="101"/>
      <c r="DE27" s="105"/>
      <c r="DF27" s="105"/>
      <c r="DG27" s="106">
        <v>2000000</v>
      </c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5"/>
      <c r="EG27" s="105"/>
      <c r="EH27" s="105"/>
      <c r="EI27" s="105"/>
      <c r="EJ27" s="105"/>
      <c r="EK27" s="105"/>
      <c r="EL27" s="105"/>
      <c r="EM27" s="106">
        <v>2000000</v>
      </c>
      <c r="EO27" s="44">
        <f t="shared" ref="EO27:EO50" si="2">P27+Q27+AV27+CB27+DG27+EM27</f>
        <v>8000000</v>
      </c>
      <c r="EP27" s="71">
        <v>8000000</v>
      </c>
      <c r="EQ27" s="110">
        <f t="shared" ref="EQ27:EQ50" si="3">EO27-EP27</f>
        <v>0</v>
      </c>
      <c r="ER27" s="110"/>
      <c r="ES27" s="73"/>
      <c r="ET27" s="90"/>
      <c r="EU27" s="243"/>
      <c r="EV27" s="13"/>
      <c r="EW27" s="13"/>
      <c r="EX27" s="13"/>
      <c r="EY27" s="8"/>
      <c r="FE27" s="9" t="s">
        <v>59</v>
      </c>
      <c r="FF27" s="9"/>
      <c r="FK27" s="201"/>
    </row>
    <row r="28" spans="1:167" ht="21" customHeight="1" x14ac:dyDescent="0.55000000000000004">
      <c r="A28" s="28" t="s">
        <v>168</v>
      </c>
      <c r="B28" s="1" t="s">
        <v>169</v>
      </c>
      <c r="C28" s="1" t="s">
        <v>170</v>
      </c>
      <c r="D28" s="1" t="s">
        <v>89</v>
      </c>
      <c r="E28" s="77" t="s">
        <v>90</v>
      </c>
      <c r="F28" s="80" t="s">
        <v>171</v>
      </c>
      <c r="G28" s="74" t="s">
        <v>9</v>
      </c>
      <c r="H28" s="202">
        <v>0.54</v>
      </c>
      <c r="I28" s="180"/>
      <c r="J28" s="180"/>
      <c r="K28" s="180"/>
      <c r="L28" s="180"/>
      <c r="M28" s="180"/>
      <c r="N28" s="189"/>
      <c r="O28" s="97"/>
      <c r="P28" s="82">
        <v>2157153.7180000003</v>
      </c>
      <c r="Q28" s="82">
        <v>2100000</v>
      </c>
      <c r="R28" s="7"/>
      <c r="S28" s="7"/>
      <c r="T28" s="7"/>
      <c r="U28" s="7"/>
      <c r="V28" s="7"/>
      <c r="W28" s="2"/>
      <c r="X28" s="2"/>
      <c r="Y28" s="1"/>
      <c r="Z28" s="1"/>
      <c r="AA28" s="1"/>
      <c r="AB28" s="1"/>
      <c r="AC28" s="1"/>
      <c r="AD28" s="2"/>
      <c r="AE28" s="2"/>
      <c r="AF28" s="1"/>
      <c r="AG28" s="1"/>
      <c r="AH28" s="1"/>
      <c r="AI28" s="1"/>
      <c r="AJ28" s="1"/>
      <c r="AK28" s="2"/>
      <c r="AL28" s="2"/>
      <c r="AM28" s="1"/>
      <c r="AN28" s="1"/>
      <c r="AO28" s="1"/>
      <c r="AP28" s="1"/>
      <c r="AQ28" s="1"/>
      <c r="AR28" s="2"/>
      <c r="AS28" s="2"/>
      <c r="AT28" s="7"/>
      <c r="AU28" s="7"/>
      <c r="AV28" s="82">
        <v>2100000</v>
      </c>
      <c r="CB28" s="96">
        <v>0</v>
      </c>
      <c r="CC28" s="7"/>
      <c r="CD28" s="7"/>
      <c r="CE28" s="7"/>
      <c r="CF28" s="7"/>
      <c r="CG28" s="7"/>
      <c r="CH28" s="84"/>
      <c r="CI28" s="84"/>
      <c r="CJ28" s="7"/>
      <c r="CK28" s="7"/>
      <c r="CL28" s="7"/>
      <c r="CM28" s="7"/>
      <c r="CN28" s="7"/>
      <c r="CO28" s="84"/>
      <c r="CP28" s="84"/>
      <c r="CQ28" s="7"/>
      <c r="CR28" s="7"/>
      <c r="CS28" s="7"/>
      <c r="CT28" s="7"/>
      <c r="CU28" s="7"/>
      <c r="CV28" s="84"/>
      <c r="CW28" s="84"/>
      <c r="CX28" s="7"/>
      <c r="CY28" s="7"/>
      <c r="CZ28" s="7"/>
      <c r="DA28" s="7"/>
      <c r="DB28" s="7"/>
      <c r="DC28" s="84"/>
      <c r="DD28" s="84"/>
      <c r="DE28" s="7"/>
      <c r="DF28" s="7"/>
      <c r="DG28" s="96">
        <v>0</v>
      </c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96">
        <v>0</v>
      </c>
      <c r="EO28" s="42">
        <f t="shared" si="2"/>
        <v>6357153.7180000003</v>
      </c>
      <c r="EP28" s="70">
        <v>6300000</v>
      </c>
      <c r="EQ28" s="13">
        <f t="shared" si="3"/>
        <v>57153.718000000343</v>
      </c>
      <c r="ER28" s="13"/>
      <c r="ES28" s="8"/>
      <c r="ET28" s="13"/>
      <c r="EU28" s="13"/>
      <c r="EV28" s="225" t="s">
        <v>168</v>
      </c>
      <c r="EW28" s="70" t="s">
        <v>95</v>
      </c>
      <c r="EX28" s="13"/>
      <c r="EY28" s="9" t="s">
        <v>80</v>
      </c>
      <c r="EZ28" s="9"/>
      <c r="FE28" s="9" t="s">
        <v>172</v>
      </c>
      <c r="FF28" s="196"/>
      <c r="FH28" s="4" t="s">
        <v>83</v>
      </c>
      <c r="FK28" s="201"/>
    </row>
    <row r="29" spans="1:167" ht="21" customHeight="1" x14ac:dyDescent="0.55000000000000004">
      <c r="A29" s="28" t="s">
        <v>168</v>
      </c>
      <c r="B29" s="1" t="s">
        <v>169</v>
      </c>
      <c r="C29" s="29" t="s">
        <v>173</v>
      </c>
      <c r="D29" s="1" t="s">
        <v>89</v>
      </c>
      <c r="E29" s="77" t="s">
        <v>174</v>
      </c>
      <c r="F29" s="80" t="s">
        <v>171</v>
      </c>
      <c r="G29" s="74" t="s">
        <v>175</v>
      </c>
      <c r="I29" s="180"/>
      <c r="J29" s="180"/>
      <c r="K29" s="180"/>
      <c r="L29" s="180"/>
      <c r="M29" s="180"/>
      <c r="N29" s="189"/>
      <c r="O29" s="97"/>
      <c r="P29" s="82">
        <v>0</v>
      </c>
      <c r="Q29" s="82">
        <v>0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82">
        <v>0</v>
      </c>
      <c r="CB29" s="96">
        <v>2100000</v>
      </c>
      <c r="CC29" s="7"/>
      <c r="CD29" s="7"/>
      <c r="CE29" s="7"/>
      <c r="CF29" s="7"/>
      <c r="CG29" s="7"/>
      <c r="CH29" s="84"/>
      <c r="CI29" s="84"/>
      <c r="CJ29" s="7"/>
      <c r="CK29" s="7"/>
      <c r="CL29" s="7"/>
      <c r="CM29" s="7"/>
      <c r="CN29" s="7"/>
      <c r="CO29" s="84"/>
      <c r="CP29" s="84"/>
      <c r="CQ29" s="7"/>
      <c r="CR29" s="7"/>
      <c r="CS29" s="7"/>
      <c r="CT29" s="7"/>
      <c r="CU29" s="7"/>
      <c r="CV29" s="84"/>
      <c r="CW29" s="84"/>
      <c r="CX29" s="7"/>
      <c r="CY29" s="7"/>
      <c r="CZ29" s="7"/>
      <c r="DA29" s="7"/>
      <c r="DB29" s="7"/>
      <c r="DC29" s="84"/>
      <c r="DD29" s="84"/>
      <c r="DE29" s="7"/>
      <c r="DF29" s="7"/>
      <c r="DG29" s="96">
        <v>2100000</v>
      </c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96">
        <v>2100000</v>
      </c>
      <c r="EO29" s="42">
        <f t="shared" si="2"/>
        <v>6300000</v>
      </c>
      <c r="EP29" s="70">
        <v>6300000</v>
      </c>
      <c r="EQ29" s="13">
        <f t="shared" si="3"/>
        <v>0</v>
      </c>
      <c r="ER29" s="13"/>
      <c r="ES29" s="8"/>
      <c r="ET29" s="13"/>
      <c r="EU29" s="13"/>
      <c r="EV29" s="13">
        <f>SUM(EO28:EO53)</f>
        <v>134882029.31800002</v>
      </c>
      <c r="EW29" s="13">
        <f>SUM(EP28:EP53)</f>
        <v>158680000</v>
      </c>
      <c r="EX29" s="13"/>
      <c r="EY29" s="35">
        <f>EV29/EW29</f>
        <v>0.85002539272750199</v>
      </c>
      <c r="EZ29" s="18" t="s">
        <v>176</v>
      </c>
      <c r="FA29" s="18" t="s">
        <v>177</v>
      </c>
      <c r="FB29" s="18" t="s">
        <v>93</v>
      </c>
      <c r="FE29" s="9" t="s">
        <v>94</v>
      </c>
      <c r="FF29" s="35">
        <f>FH35/FI35</f>
        <v>0.9354595835141255</v>
      </c>
      <c r="FG29" s="67" t="s">
        <v>176</v>
      </c>
      <c r="FH29" s="67" t="s">
        <v>177</v>
      </c>
      <c r="FI29" s="67" t="s">
        <v>95</v>
      </c>
      <c r="FJ29" s="67" t="s">
        <v>96</v>
      </c>
      <c r="FK29" s="201"/>
    </row>
    <row r="30" spans="1:167" ht="21" customHeight="1" x14ac:dyDescent="0.55000000000000004">
      <c r="A30" s="28" t="s">
        <v>168</v>
      </c>
      <c r="B30" s="1" t="s">
        <v>169</v>
      </c>
      <c r="C30" s="1" t="s">
        <v>178</v>
      </c>
      <c r="D30" s="1" t="s">
        <v>89</v>
      </c>
      <c r="E30" s="77" t="s">
        <v>90</v>
      </c>
      <c r="F30" s="80" t="s">
        <v>171</v>
      </c>
      <c r="G30" s="74" t="s">
        <v>9</v>
      </c>
      <c r="H30" s="202">
        <v>0.37</v>
      </c>
      <c r="I30" s="180"/>
      <c r="J30" s="180"/>
      <c r="K30" s="180"/>
      <c r="L30" s="180"/>
      <c r="M30" s="180"/>
      <c r="N30" s="189"/>
      <c r="O30" s="97"/>
      <c r="P30" s="82">
        <v>4600000</v>
      </c>
      <c r="Q30" s="82">
        <v>4600000</v>
      </c>
      <c r="R30" s="7"/>
      <c r="S30" s="7"/>
      <c r="T30" s="7"/>
      <c r="U30" s="7"/>
      <c r="V30" s="7"/>
      <c r="W30" s="2"/>
      <c r="X30" s="2"/>
      <c r="Y30" s="1"/>
      <c r="Z30" s="1"/>
      <c r="AA30" s="1"/>
      <c r="AB30" s="1"/>
      <c r="AC30" s="1"/>
      <c r="AD30" s="2"/>
      <c r="AE30" s="2"/>
      <c r="AF30" s="1"/>
      <c r="AG30" s="1"/>
      <c r="AH30" s="1"/>
      <c r="AI30" s="1"/>
      <c r="AJ30" s="1"/>
      <c r="AK30" s="2"/>
      <c r="AL30" s="2"/>
      <c r="AM30" s="1"/>
      <c r="AN30" s="1"/>
      <c r="AO30" s="1"/>
      <c r="AP30" s="1"/>
      <c r="AQ30" s="1"/>
      <c r="AR30" s="2"/>
      <c r="AS30" s="2"/>
      <c r="AT30" s="7"/>
      <c r="AU30" s="7"/>
      <c r="AV30" s="82">
        <v>4600000</v>
      </c>
      <c r="CB30" s="96">
        <v>0</v>
      </c>
      <c r="CC30" s="7"/>
      <c r="CD30" s="7"/>
      <c r="CE30" s="7"/>
      <c r="CF30" s="7"/>
      <c r="CG30" s="7"/>
      <c r="CH30" s="84"/>
      <c r="CI30" s="84"/>
      <c r="CJ30" s="7"/>
      <c r="CK30" s="7"/>
      <c r="CL30" s="7"/>
      <c r="CM30" s="7"/>
      <c r="CN30" s="7"/>
      <c r="CO30" s="84"/>
      <c r="CP30" s="84"/>
      <c r="CQ30" s="7"/>
      <c r="CR30" s="7"/>
      <c r="CS30" s="7"/>
      <c r="CT30" s="7"/>
      <c r="CU30" s="7"/>
      <c r="CV30" s="84"/>
      <c r="CW30" s="84"/>
      <c r="CX30" s="7"/>
      <c r="CY30" s="7"/>
      <c r="CZ30" s="7"/>
      <c r="DA30" s="7"/>
      <c r="DB30" s="7"/>
      <c r="DC30" s="84"/>
      <c r="DD30" s="84"/>
      <c r="DE30" s="7"/>
      <c r="DF30" s="7"/>
      <c r="DG30" s="96">
        <v>0</v>
      </c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96">
        <v>0</v>
      </c>
      <c r="EO30" s="42">
        <f t="shared" si="2"/>
        <v>13800000</v>
      </c>
      <c r="EP30" s="70">
        <v>13800000</v>
      </c>
      <c r="EQ30" s="13">
        <f t="shared" si="3"/>
        <v>0</v>
      </c>
      <c r="ER30" s="13"/>
      <c r="ES30" s="8"/>
      <c r="ET30" s="13"/>
      <c r="EU30" s="13"/>
      <c r="EV30" s="13"/>
      <c r="EW30" s="13">
        <f>EV29-EW29</f>
        <v>-23797970.681999981</v>
      </c>
      <c r="EX30" s="13"/>
      <c r="EY30" s="8"/>
      <c r="EZ30" s="19" t="s">
        <v>179</v>
      </c>
      <c r="FA30" s="20">
        <f>SUMIF($G$28:$G$53,EZ30,$EO$28:$EO$53)</f>
        <v>127732029.318</v>
      </c>
      <c r="FB30" s="111"/>
      <c r="FE30" s="9" t="s">
        <v>65</v>
      </c>
      <c r="FF30" s="35">
        <f>FH39/FJ39</f>
        <v>1.2273492237031252</v>
      </c>
      <c r="FG30" s="19" t="s">
        <v>179</v>
      </c>
      <c r="FH30" s="20">
        <f>SUMIF($G$28:$G$53,FG30,$EO$28:$EO$53)+O100+O52</f>
        <v>188491847.04250002</v>
      </c>
      <c r="FI30" s="111"/>
      <c r="FJ30" s="111"/>
      <c r="FK30" s="201"/>
    </row>
    <row r="31" spans="1:167" ht="21" customHeight="1" x14ac:dyDescent="0.55000000000000004">
      <c r="A31" s="28" t="s">
        <v>168</v>
      </c>
      <c r="B31" s="1" t="s">
        <v>169</v>
      </c>
      <c r="C31" s="29" t="s">
        <v>180</v>
      </c>
      <c r="D31" s="1" t="s">
        <v>89</v>
      </c>
      <c r="E31" s="77" t="s">
        <v>174</v>
      </c>
      <c r="F31" s="80" t="s">
        <v>171</v>
      </c>
      <c r="G31" s="74" t="s">
        <v>9</v>
      </c>
      <c r="I31" s="180"/>
      <c r="J31" s="180"/>
      <c r="K31" s="180"/>
      <c r="L31" s="180"/>
      <c r="M31" s="180"/>
      <c r="N31" s="189"/>
      <c r="O31" s="97"/>
      <c r="P31" s="82">
        <v>0</v>
      </c>
      <c r="Q31" s="82">
        <v>0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82">
        <v>0</v>
      </c>
      <c r="CB31" s="96">
        <v>2250000</v>
      </c>
      <c r="CC31" s="7"/>
      <c r="CD31" s="7"/>
      <c r="CE31" s="7"/>
      <c r="CF31" s="7"/>
      <c r="CG31" s="7"/>
      <c r="CH31" s="84"/>
      <c r="CI31" s="84"/>
      <c r="CJ31" s="7"/>
      <c r="CK31" s="7"/>
      <c r="CL31" s="7"/>
      <c r="CM31" s="7"/>
      <c r="CN31" s="7"/>
      <c r="CO31" s="84"/>
      <c r="CP31" s="84"/>
      <c r="CQ31" s="7"/>
      <c r="CR31" s="7"/>
      <c r="CS31" s="7"/>
      <c r="CT31" s="7"/>
      <c r="CU31" s="7"/>
      <c r="CV31" s="84"/>
      <c r="CW31" s="84"/>
      <c r="CX31" s="7"/>
      <c r="CY31" s="7"/>
      <c r="CZ31" s="7"/>
      <c r="DA31" s="7"/>
      <c r="DB31" s="7"/>
      <c r="DC31" s="84"/>
      <c r="DD31" s="84"/>
      <c r="DE31" s="7"/>
      <c r="DF31" s="7"/>
      <c r="DG31" s="96">
        <v>2250000</v>
      </c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96">
        <v>1500000</v>
      </c>
      <c r="EO31" s="42">
        <f t="shared" si="2"/>
        <v>6000000</v>
      </c>
      <c r="EP31" s="70">
        <v>6000000</v>
      </c>
      <c r="EQ31" s="13">
        <f t="shared" si="3"/>
        <v>0</v>
      </c>
      <c r="ER31" s="13"/>
      <c r="ES31" s="8"/>
      <c r="ET31" s="13"/>
      <c r="EU31" s="13"/>
      <c r="EV31" s="13"/>
      <c r="EW31" s="13"/>
      <c r="EX31" s="13"/>
      <c r="EY31" s="8"/>
      <c r="EZ31" s="19" t="s">
        <v>181</v>
      </c>
      <c r="FA31" s="20">
        <f>SUMIF($G$28:$G$53,EZ31,$EO$28:$EO$53)</f>
        <v>6490000</v>
      </c>
      <c r="FB31" s="111"/>
      <c r="FE31" s="196"/>
      <c r="FF31" s="196"/>
      <c r="FG31" s="19" t="s">
        <v>181</v>
      </c>
      <c r="FH31" s="20">
        <f>SUMIF($G$28:$G$53,FG31,$EO$28:$EO$53)</f>
        <v>6490000</v>
      </c>
      <c r="FI31" s="111"/>
      <c r="FJ31" s="111"/>
      <c r="FK31" s="201"/>
    </row>
    <row r="32" spans="1:167" ht="21" hidden="1" customHeight="1" x14ac:dyDescent="0.55000000000000004">
      <c r="A32" s="28" t="s">
        <v>168</v>
      </c>
      <c r="B32" s="1" t="s">
        <v>131</v>
      </c>
      <c r="C32" s="1" t="s">
        <v>182</v>
      </c>
      <c r="D32" s="1" t="s">
        <v>89</v>
      </c>
      <c r="E32" s="77" t="s">
        <v>90</v>
      </c>
      <c r="F32" s="80" t="s">
        <v>183</v>
      </c>
      <c r="G32" s="74" t="s">
        <v>9</v>
      </c>
      <c r="I32" s="180"/>
      <c r="J32" s="180"/>
      <c r="K32" s="180"/>
      <c r="L32" s="180"/>
      <c r="M32" s="180"/>
      <c r="N32" s="189"/>
      <c r="O32" s="97"/>
      <c r="P32" s="82">
        <v>750000</v>
      </c>
      <c r="Q32" s="82">
        <v>750000</v>
      </c>
      <c r="R32" s="79"/>
      <c r="S32" s="79"/>
      <c r="T32" s="79"/>
      <c r="U32" s="79"/>
      <c r="V32" s="79"/>
      <c r="W32" s="74"/>
      <c r="X32" s="74"/>
      <c r="Y32" s="43"/>
      <c r="Z32" s="43"/>
      <c r="AA32" s="43"/>
      <c r="AB32" s="43"/>
      <c r="AC32" s="43"/>
      <c r="AD32" s="74"/>
      <c r="AE32" s="74"/>
      <c r="AF32" s="43"/>
      <c r="AG32" s="43"/>
      <c r="AH32" s="43"/>
      <c r="AI32" s="43"/>
      <c r="AJ32" s="43"/>
      <c r="AK32" s="74"/>
      <c r="AL32" s="74"/>
      <c r="AM32" s="43"/>
      <c r="AN32" s="43"/>
      <c r="AO32" s="43"/>
      <c r="AP32" s="43"/>
      <c r="AQ32" s="43"/>
      <c r="AR32" s="74"/>
      <c r="AS32" s="74"/>
      <c r="AT32" s="79"/>
      <c r="AU32" s="79"/>
      <c r="AV32" s="82">
        <v>750000</v>
      </c>
      <c r="CB32" s="96">
        <v>0</v>
      </c>
      <c r="CC32" s="7"/>
      <c r="CD32" s="7"/>
      <c r="CE32" s="7"/>
      <c r="CF32" s="7"/>
      <c r="CG32" s="7"/>
      <c r="CH32" s="84"/>
      <c r="CI32" s="84"/>
      <c r="CJ32" s="7"/>
      <c r="CK32" s="7"/>
      <c r="CL32" s="7"/>
      <c r="CM32" s="7"/>
      <c r="CN32" s="7"/>
      <c r="CO32" s="84"/>
      <c r="CP32" s="84"/>
      <c r="CQ32" s="7"/>
      <c r="CR32" s="7"/>
      <c r="CS32" s="7"/>
      <c r="CT32" s="7"/>
      <c r="CU32" s="7"/>
      <c r="CV32" s="84"/>
      <c r="CW32" s="84"/>
      <c r="CX32" s="7"/>
      <c r="CY32" s="7"/>
      <c r="CZ32" s="7"/>
      <c r="DA32" s="7"/>
      <c r="DB32" s="7"/>
      <c r="DC32" s="84"/>
      <c r="DD32" s="84"/>
      <c r="DE32" s="7"/>
      <c r="DF32" s="7"/>
      <c r="DG32" s="96">
        <v>0</v>
      </c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96">
        <v>0</v>
      </c>
      <c r="EO32" s="42">
        <f t="shared" si="2"/>
        <v>2250000</v>
      </c>
      <c r="EP32" s="70">
        <v>2250000</v>
      </c>
      <c r="EQ32" s="13">
        <f t="shared" si="3"/>
        <v>0</v>
      </c>
      <c r="ER32" s="13"/>
      <c r="ES32" s="8"/>
      <c r="ET32" s="13"/>
      <c r="EU32" s="13"/>
      <c r="EV32" s="13"/>
      <c r="EW32" s="13"/>
      <c r="EX32" s="13"/>
      <c r="EY32" s="8"/>
      <c r="EZ32" s="19" t="s">
        <v>184</v>
      </c>
      <c r="FA32" s="20">
        <f>SUMIF($G$28:$G$53,EZ32,$EO$28:$EO$53)</f>
        <v>660000</v>
      </c>
      <c r="FB32" s="111"/>
      <c r="FE32" s="196"/>
      <c r="FF32" s="196"/>
      <c r="FG32" s="19" t="s">
        <v>184</v>
      </c>
      <c r="FH32" s="20">
        <f>SUMIF($G$28:$G$53,FG32,$EO$28:$EO$53)</f>
        <v>660000</v>
      </c>
      <c r="FI32" s="111"/>
      <c r="FJ32" s="111"/>
      <c r="FK32" s="201"/>
    </row>
    <row r="33" spans="1:167" ht="21" hidden="1" customHeight="1" x14ac:dyDescent="0.55000000000000004">
      <c r="A33" s="28" t="s">
        <v>168</v>
      </c>
      <c r="B33" s="1" t="s">
        <v>131</v>
      </c>
      <c r="C33" s="1" t="s">
        <v>185</v>
      </c>
      <c r="D33" s="1" t="s">
        <v>89</v>
      </c>
      <c r="E33" s="77" t="s">
        <v>174</v>
      </c>
      <c r="F33" s="80" t="s">
        <v>183</v>
      </c>
      <c r="G33" s="74" t="s">
        <v>9</v>
      </c>
      <c r="I33" s="180"/>
      <c r="J33" s="180"/>
      <c r="K33" s="180"/>
      <c r="L33" s="180"/>
      <c r="M33" s="180"/>
      <c r="N33" s="189"/>
      <c r="O33" s="97"/>
      <c r="P33" s="82">
        <v>0</v>
      </c>
      <c r="Q33" s="82">
        <v>0</v>
      </c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82">
        <v>0</v>
      </c>
      <c r="CB33" s="96">
        <v>750000</v>
      </c>
      <c r="CC33" s="7"/>
      <c r="CD33" s="7"/>
      <c r="CE33" s="7"/>
      <c r="CF33" s="7"/>
      <c r="CG33" s="7"/>
      <c r="CH33" s="84"/>
      <c r="CI33" s="84"/>
      <c r="CJ33" s="7"/>
      <c r="CK33" s="7"/>
      <c r="CL33" s="7"/>
      <c r="CM33" s="7"/>
      <c r="CN33" s="7"/>
      <c r="CO33" s="84"/>
      <c r="CP33" s="84"/>
      <c r="CQ33" s="7"/>
      <c r="CR33" s="7"/>
      <c r="CS33" s="7"/>
      <c r="CT33" s="7"/>
      <c r="CU33" s="7"/>
      <c r="CV33" s="84"/>
      <c r="CW33" s="84"/>
      <c r="CX33" s="7"/>
      <c r="CY33" s="7"/>
      <c r="CZ33" s="7"/>
      <c r="DA33" s="7"/>
      <c r="DB33" s="7"/>
      <c r="DC33" s="84"/>
      <c r="DD33" s="84"/>
      <c r="DE33" s="7"/>
      <c r="DF33" s="7"/>
      <c r="DG33" s="96">
        <v>750000</v>
      </c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96">
        <v>750000</v>
      </c>
      <c r="EO33" s="42">
        <f t="shared" si="2"/>
        <v>2250000</v>
      </c>
      <c r="EP33" s="70">
        <v>2250000</v>
      </c>
      <c r="EQ33" s="13">
        <f t="shared" si="3"/>
        <v>0</v>
      </c>
      <c r="ER33" s="13"/>
      <c r="ES33" s="8"/>
      <c r="ET33" s="13"/>
      <c r="EU33" s="13"/>
      <c r="EV33" s="13"/>
      <c r="EW33" s="13"/>
      <c r="EX33" s="13"/>
      <c r="EY33" s="8"/>
      <c r="EZ33" s="19" t="s">
        <v>186</v>
      </c>
      <c r="FA33" s="38">
        <f>SUMIF($G$28:$G$53,EZ33,$EO$28:$EO$53)</f>
        <v>0</v>
      </c>
      <c r="FB33" s="111"/>
      <c r="FE33" s="196"/>
      <c r="FF33" s="196"/>
      <c r="FG33" s="19" t="s">
        <v>186</v>
      </c>
      <c r="FH33" s="38">
        <f>SUMIF($G$28:$G$53,FG33,$EO$28:$EO$53)</f>
        <v>0</v>
      </c>
      <c r="FI33" s="111"/>
      <c r="FJ33" s="111"/>
      <c r="FK33" s="201"/>
    </row>
    <row r="34" spans="1:167" ht="21" hidden="1" customHeight="1" x14ac:dyDescent="0.55000000000000004">
      <c r="A34" s="28" t="s">
        <v>168</v>
      </c>
      <c r="B34" s="1" t="s">
        <v>131</v>
      </c>
      <c r="C34" s="1" t="s">
        <v>187</v>
      </c>
      <c r="D34" s="1" t="s">
        <v>89</v>
      </c>
      <c r="E34" s="76" t="s">
        <v>188</v>
      </c>
      <c r="F34" s="79" t="s">
        <v>189</v>
      </c>
      <c r="G34" s="1" t="s">
        <v>190</v>
      </c>
      <c r="I34" s="4"/>
      <c r="J34" s="4"/>
      <c r="K34" s="4"/>
      <c r="L34" s="4"/>
      <c r="M34" s="4"/>
      <c r="N34" s="189"/>
      <c r="P34" s="82">
        <v>0</v>
      </c>
      <c r="Q34" s="82">
        <v>0</v>
      </c>
      <c r="R34" s="79"/>
      <c r="S34" s="79"/>
      <c r="T34" s="79"/>
      <c r="U34" s="79"/>
      <c r="V34" s="79"/>
      <c r="W34" s="74"/>
      <c r="X34" s="74"/>
      <c r="Y34" s="43"/>
      <c r="Z34" s="43"/>
      <c r="AA34" s="43"/>
      <c r="AB34" s="43"/>
      <c r="AC34" s="43"/>
      <c r="AD34" s="74"/>
      <c r="AE34" s="74"/>
      <c r="AF34" s="43"/>
      <c r="AG34" s="43"/>
      <c r="AH34" s="43"/>
      <c r="AI34" s="43"/>
      <c r="AJ34" s="43"/>
      <c r="AK34" s="74"/>
      <c r="AL34" s="74"/>
      <c r="AM34" s="43"/>
      <c r="AN34" s="43"/>
      <c r="AO34" s="43"/>
      <c r="AP34" s="43"/>
      <c r="AQ34" s="43"/>
      <c r="AR34" s="74"/>
      <c r="AS34" s="74"/>
      <c r="AT34" s="79"/>
      <c r="AU34" s="79"/>
      <c r="AV34" s="82">
        <v>0</v>
      </c>
      <c r="CB34" s="11">
        <v>0</v>
      </c>
      <c r="CC34" s="7"/>
      <c r="CD34" s="7"/>
      <c r="CE34" s="7"/>
      <c r="CF34" s="7"/>
      <c r="CG34" s="7"/>
      <c r="CH34" s="84"/>
      <c r="CI34" s="84"/>
      <c r="CJ34" s="7"/>
      <c r="CK34" s="7"/>
      <c r="CL34" s="7"/>
      <c r="CM34" s="7"/>
      <c r="CN34" s="7"/>
      <c r="CO34" s="84"/>
      <c r="CP34" s="84"/>
      <c r="CQ34" s="7"/>
      <c r="CR34" s="7"/>
      <c r="CS34" s="7"/>
      <c r="CT34" s="7"/>
      <c r="CU34" s="7"/>
      <c r="CV34" s="84"/>
      <c r="CW34" s="84"/>
      <c r="CX34" s="7"/>
      <c r="CY34" s="7"/>
      <c r="CZ34" s="7"/>
      <c r="DA34" s="7"/>
      <c r="DB34" s="7"/>
      <c r="DC34" s="84"/>
      <c r="DD34" s="84"/>
      <c r="DE34" s="7"/>
      <c r="DF34" s="7"/>
      <c r="DG34" s="11">
        <v>0</v>
      </c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11">
        <v>0</v>
      </c>
      <c r="EO34" s="8">
        <f t="shared" si="2"/>
        <v>0</v>
      </c>
      <c r="EP34" s="70">
        <v>1400000</v>
      </c>
      <c r="EQ34" s="13">
        <f t="shared" si="3"/>
        <v>-1400000</v>
      </c>
      <c r="ER34" s="13"/>
      <c r="ES34" s="13"/>
      <c r="ET34" s="13"/>
      <c r="EU34" s="13"/>
      <c r="EV34" s="1"/>
      <c r="EW34" s="13"/>
      <c r="EX34" s="13"/>
      <c r="EY34" s="8"/>
      <c r="EZ34" s="19" t="s">
        <v>191</v>
      </c>
      <c r="FA34" s="20">
        <f>SUMIF($G$28:$G$53,EZ34,$EO$28:$EO$53)</f>
        <v>0</v>
      </c>
      <c r="FB34" s="111"/>
      <c r="FE34" s="196"/>
      <c r="FF34" s="196"/>
      <c r="FG34" s="19" t="s">
        <v>191</v>
      </c>
      <c r="FH34" s="20">
        <f>SUMIF($G$28:$G$53,FG34,$EO$28:$EO$53)</f>
        <v>0</v>
      </c>
      <c r="FI34" s="111"/>
      <c r="FJ34" s="111"/>
      <c r="FK34" s="201"/>
    </row>
    <row r="35" spans="1:167" ht="21" hidden="1" customHeight="1" x14ac:dyDescent="0.55000000000000004">
      <c r="A35" s="28" t="s">
        <v>168</v>
      </c>
      <c r="B35" s="1" t="s">
        <v>131</v>
      </c>
      <c r="C35" s="1" t="s">
        <v>192</v>
      </c>
      <c r="D35" s="1" t="s">
        <v>108</v>
      </c>
      <c r="E35" s="76" t="s">
        <v>193</v>
      </c>
      <c r="F35" s="79" t="s">
        <v>189</v>
      </c>
      <c r="G35" s="43" t="s">
        <v>175</v>
      </c>
      <c r="I35" s="180"/>
      <c r="J35" s="180"/>
      <c r="K35" s="180"/>
      <c r="L35" s="180"/>
      <c r="M35" s="180"/>
      <c r="N35" s="189"/>
      <c r="P35" s="82">
        <v>0</v>
      </c>
      <c r="Q35" s="82">
        <v>0</v>
      </c>
      <c r="R35" s="79"/>
      <c r="S35" s="79"/>
      <c r="T35" s="79"/>
      <c r="U35" s="79"/>
      <c r="V35" s="79"/>
      <c r="W35" s="74"/>
      <c r="X35" s="74"/>
      <c r="Y35" s="43"/>
      <c r="Z35" s="43"/>
      <c r="AA35" s="43"/>
      <c r="AB35" s="43"/>
      <c r="AC35" s="43"/>
      <c r="AD35" s="74"/>
      <c r="AE35" s="74"/>
      <c r="AF35" s="43"/>
      <c r="AG35" s="43"/>
      <c r="AH35" s="43"/>
      <c r="AI35" s="43"/>
      <c r="AJ35" s="43"/>
      <c r="AK35" s="74"/>
      <c r="AL35" s="74"/>
      <c r="AM35" s="43"/>
      <c r="AN35" s="43"/>
      <c r="AO35" s="43"/>
      <c r="AP35" s="43"/>
      <c r="AQ35" s="43"/>
      <c r="AR35" s="74"/>
      <c r="AS35" s="74"/>
      <c r="AT35" s="79"/>
      <c r="AU35" s="79"/>
      <c r="AV35" s="82">
        <v>0</v>
      </c>
      <c r="CB35" s="97">
        <v>600000</v>
      </c>
      <c r="CC35" s="79"/>
      <c r="CD35" s="79"/>
      <c r="CE35" s="79"/>
      <c r="CF35" s="79"/>
      <c r="CG35" s="79"/>
      <c r="CH35" s="80"/>
      <c r="CI35" s="80"/>
      <c r="CJ35" s="79"/>
      <c r="CK35" s="79"/>
      <c r="CL35" s="79"/>
      <c r="CM35" s="79"/>
      <c r="CN35" s="79"/>
      <c r="CO35" s="80"/>
      <c r="CP35" s="80"/>
      <c r="CQ35" s="79"/>
      <c r="CR35" s="79"/>
      <c r="CS35" s="79"/>
      <c r="CT35" s="79"/>
      <c r="CU35" s="79"/>
      <c r="CV35" s="80"/>
      <c r="CW35" s="80"/>
      <c r="CX35" s="79"/>
      <c r="CY35" s="79"/>
      <c r="CZ35" s="79"/>
      <c r="DA35" s="79"/>
      <c r="DB35" s="79"/>
      <c r="DC35" s="80"/>
      <c r="DD35" s="80"/>
      <c r="DE35" s="79"/>
      <c r="DF35" s="79"/>
      <c r="DG35" s="97">
        <v>600000</v>
      </c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11">
        <v>0</v>
      </c>
      <c r="EO35" s="8">
        <f t="shared" si="2"/>
        <v>1200000</v>
      </c>
      <c r="EP35" s="70">
        <v>1600000</v>
      </c>
      <c r="EQ35" s="13">
        <f t="shared" si="3"/>
        <v>-400000</v>
      </c>
      <c r="ER35" s="13"/>
      <c r="ES35" s="13" t="s">
        <v>194</v>
      </c>
      <c r="ET35" s="13"/>
      <c r="EU35" s="13"/>
      <c r="EV35" s="1"/>
      <c r="EW35" s="13"/>
      <c r="EX35" s="13"/>
      <c r="EY35" s="8"/>
      <c r="EZ35" s="23" t="s">
        <v>195</v>
      </c>
      <c r="FA35" s="24">
        <f>SUM(FA30:FA34)</f>
        <v>134882029.31800002</v>
      </c>
      <c r="FB35" s="24">
        <f>SUM(ES28:ES53)</f>
        <v>0</v>
      </c>
      <c r="FE35" s="196"/>
      <c r="FF35" s="196"/>
      <c r="FG35" s="219" t="s">
        <v>127</v>
      </c>
      <c r="FH35" s="24">
        <f>SUM(FH30:FH34)</f>
        <v>195641847.04250002</v>
      </c>
      <c r="FI35" s="24">
        <v>209139818</v>
      </c>
      <c r="FJ35" s="111"/>
      <c r="FK35" s="201"/>
    </row>
    <row r="36" spans="1:167" ht="21" hidden="1" customHeight="1" x14ac:dyDescent="0.55000000000000004">
      <c r="A36" s="28" t="s">
        <v>168</v>
      </c>
      <c r="B36" s="1" t="s">
        <v>131</v>
      </c>
      <c r="C36" s="1" t="s">
        <v>196</v>
      </c>
      <c r="D36" s="1" t="s">
        <v>89</v>
      </c>
      <c r="E36" s="77" t="s">
        <v>90</v>
      </c>
      <c r="F36" s="80" t="s">
        <v>197</v>
      </c>
      <c r="G36" s="74" t="s">
        <v>9</v>
      </c>
      <c r="H36" s="202">
        <v>0.37</v>
      </c>
      <c r="I36" s="180"/>
      <c r="J36" s="180"/>
      <c r="K36" s="180"/>
      <c r="L36" s="180"/>
      <c r="M36" s="180"/>
      <c r="N36" s="189"/>
      <c r="O36" s="97"/>
      <c r="P36" s="82">
        <v>12234875.600000001</v>
      </c>
      <c r="Q36" s="82">
        <v>12320000</v>
      </c>
      <c r="R36" s="79"/>
      <c r="S36" s="79"/>
      <c r="T36" s="79"/>
      <c r="U36" s="79"/>
      <c r="V36" s="79"/>
      <c r="W36" s="74"/>
      <c r="X36" s="74"/>
      <c r="Y36" s="43"/>
      <c r="Z36" s="43"/>
      <c r="AA36" s="43"/>
      <c r="AB36" s="43"/>
      <c r="AC36" s="43"/>
      <c r="AD36" s="74"/>
      <c r="AE36" s="74"/>
      <c r="AF36" s="43"/>
      <c r="AG36" s="43"/>
      <c r="AH36" s="43"/>
      <c r="AI36" s="43"/>
      <c r="AJ36" s="43"/>
      <c r="AK36" s="74"/>
      <c r="AL36" s="74"/>
      <c r="AM36" s="43"/>
      <c r="AN36" s="43"/>
      <c r="AO36" s="43"/>
      <c r="AP36" s="43"/>
      <c r="AQ36" s="43"/>
      <c r="AR36" s="74"/>
      <c r="AS36" s="74"/>
      <c r="AT36" s="79"/>
      <c r="AU36" s="79"/>
      <c r="AV36" s="82">
        <v>12320000</v>
      </c>
      <c r="CB36" s="96">
        <v>0</v>
      </c>
      <c r="CC36" s="7"/>
      <c r="CD36" s="7"/>
      <c r="CE36" s="7"/>
      <c r="CF36" s="7"/>
      <c r="CG36" s="7"/>
      <c r="CH36" s="84"/>
      <c r="CI36" s="84"/>
      <c r="CJ36" s="7"/>
      <c r="CK36" s="7"/>
      <c r="CL36" s="7"/>
      <c r="CM36" s="7"/>
      <c r="CN36" s="7"/>
      <c r="CO36" s="84"/>
      <c r="CP36" s="84"/>
      <c r="CQ36" s="7"/>
      <c r="CR36" s="7"/>
      <c r="CS36" s="7"/>
      <c r="CT36" s="7"/>
      <c r="CU36" s="7"/>
      <c r="CV36" s="84"/>
      <c r="CW36" s="84"/>
      <c r="CX36" s="7"/>
      <c r="CY36" s="7"/>
      <c r="CZ36" s="7"/>
      <c r="DA36" s="7"/>
      <c r="DB36" s="7"/>
      <c r="DC36" s="84"/>
      <c r="DD36" s="84"/>
      <c r="DE36" s="7"/>
      <c r="DF36" s="7"/>
      <c r="DG36" s="96">
        <v>0</v>
      </c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96">
        <v>0</v>
      </c>
      <c r="EO36" s="42">
        <f t="shared" si="2"/>
        <v>36874875.600000001</v>
      </c>
      <c r="EP36" s="70">
        <v>36960000</v>
      </c>
      <c r="EQ36" s="13">
        <f t="shared" si="3"/>
        <v>-85124.39999999851</v>
      </c>
      <c r="ER36" s="13"/>
      <c r="ES36" s="13"/>
      <c r="ET36" s="13"/>
      <c r="EU36" s="13"/>
      <c r="EV36" s="1"/>
      <c r="EW36" s="13"/>
      <c r="EX36" s="13"/>
      <c r="EY36" s="8"/>
      <c r="FE36" s="196"/>
      <c r="FF36" s="196"/>
      <c r="FI36" s="63"/>
      <c r="FJ36" s="201"/>
      <c r="FK36" s="201"/>
    </row>
    <row r="37" spans="1:167" ht="21" hidden="1" customHeight="1" x14ac:dyDescent="0.55000000000000004">
      <c r="A37" s="28" t="s">
        <v>168</v>
      </c>
      <c r="B37" s="1" t="s">
        <v>131</v>
      </c>
      <c r="C37" s="1" t="s">
        <v>198</v>
      </c>
      <c r="D37" s="1" t="s">
        <v>89</v>
      </c>
      <c r="E37" s="78" t="s">
        <v>199</v>
      </c>
      <c r="F37" s="81" t="s">
        <v>197</v>
      </c>
      <c r="G37" s="43" t="s">
        <v>175</v>
      </c>
      <c r="I37" s="4"/>
      <c r="J37" s="4"/>
      <c r="K37" s="4"/>
      <c r="L37" s="4"/>
      <c r="M37" s="4"/>
      <c r="N37" s="189"/>
      <c r="P37" s="82">
        <v>0</v>
      </c>
      <c r="Q37" s="82">
        <v>0</v>
      </c>
      <c r="R37" s="79"/>
      <c r="S37" s="79"/>
      <c r="T37" s="79"/>
      <c r="U37" s="79"/>
      <c r="V37" s="79"/>
      <c r="W37" s="74"/>
      <c r="X37" s="74"/>
      <c r="Y37" s="43"/>
      <c r="Z37" s="43"/>
      <c r="AA37" s="43"/>
      <c r="AB37" s="43"/>
      <c r="AC37" s="43"/>
      <c r="AD37" s="74"/>
      <c r="AE37" s="74"/>
      <c r="AF37" s="43"/>
      <c r="AG37" s="43"/>
      <c r="AH37" s="43"/>
      <c r="AI37" s="43"/>
      <c r="AJ37" s="43"/>
      <c r="AK37" s="74"/>
      <c r="AL37" s="74"/>
      <c r="AM37" s="43"/>
      <c r="AN37" s="43"/>
      <c r="AO37" s="43"/>
      <c r="AP37" s="43"/>
      <c r="AQ37" s="43"/>
      <c r="AR37" s="74"/>
      <c r="AS37" s="74"/>
      <c r="AT37" s="79"/>
      <c r="AU37" s="79"/>
      <c r="AV37" s="82">
        <v>0</v>
      </c>
      <c r="CB37" s="11">
        <v>11660000</v>
      </c>
      <c r="DG37" s="11">
        <v>11660000</v>
      </c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11">
        <v>10540000</v>
      </c>
      <c r="EO37" s="8">
        <f t="shared" si="2"/>
        <v>33860000</v>
      </c>
      <c r="EP37" s="70">
        <v>31620000</v>
      </c>
      <c r="EQ37" s="13">
        <f t="shared" si="3"/>
        <v>2240000</v>
      </c>
      <c r="ER37" s="13"/>
      <c r="ES37" s="13"/>
      <c r="ET37" s="13"/>
      <c r="EU37" s="13"/>
      <c r="EV37" s="1"/>
      <c r="EW37" s="13"/>
      <c r="EX37" s="13"/>
      <c r="EY37" s="8"/>
      <c r="FE37" s="196"/>
      <c r="FF37" s="196"/>
      <c r="FG37" s="219" t="s">
        <v>135</v>
      </c>
      <c r="FH37" s="24">
        <f>チーム別PreSales!E5</f>
        <v>734028.75</v>
      </c>
      <c r="FI37" s="111"/>
      <c r="FJ37" s="111"/>
      <c r="FK37" s="201"/>
    </row>
    <row r="38" spans="1:167" ht="21" hidden="1" customHeight="1" x14ac:dyDescent="0.55000000000000004">
      <c r="A38" s="28" t="s">
        <v>168</v>
      </c>
      <c r="B38" s="1" t="s">
        <v>200</v>
      </c>
      <c r="C38" s="1" t="s">
        <v>201</v>
      </c>
      <c r="D38" s="1" t="s">
        <v>108</v>
      </c>
      <c r="E38" s="77" t="s">
        <v>202</v>
      </c>
      <c r="F38" s="80" t="s">
        <v>203</v>
      </c>
      <c r="G38" s="2" t="s">
        <v>122</v>
      </c>
      <c r="I38" s="4"/>
      <c r="J38" s="4"/>
      <c r="K38" s="4"/>
      <c r="L38" s="4"/>
      <c r="M38" s="4"/>
      <c r="N38" s="189"/>
      <c r="O38" s="97"/>
      <c r="P38" s="82">
        <v>0</v>
      </c>
      <c r="Q38" s="82">
        <v>0</v>
      </c>
      <c r="R38" s="80"/>
      <c r="S38" s="80"/>
      <c r="T38" s="80"/>
      <c r="U38" s="80"/>
      <c r="V38" s="80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80"/>
      <c r="AU38" s="80"/>
      <c r="AV38" s="82">
        <v>0</v>
      </c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96">
        <v>0</v>
      </c>
      <c r="CC38" s="96"/>
      <c r="CD38" s="96"/>
      <c r="CE38" s="96"/>
      <c r="CF38" s="96"/>
      <c r="CG38" s="96"/>
      <c r="CH38" s="96"/>
      <c r="CI38" s="96"/>
      <c r="CJ38" s="96"/>
      <c r="CK38" s="96"/>
      <c r="CL38" s="96"/>
      <c r="CM38" s="96"/>
      <c r="CN38" s="96"/>
      <c r="CO38" s="96"/>
      <c r="CP38" s="96"/>
      <c r="CQ38" s="96"/>
      <c r="CR38" s="96"/>
      <c r="CS38" s="96"/>
      <c r="CT38" s="96"/>
      <c r="CU38" s="96"/>
      <c r="CV38" s="96"/>
      <c r="CW38" s="96"/>
      <c r="CX38" s="96"/>
      <c r="CY38" s="96"/>
      <c r="CZ38" s="96"/>
      <c r="DA38" s="96"/>
      <c r="DB38" s="96"/>
      <c r="DC38" s="96"/>
      <c r="DD38" s="96"/>
      <c r="DE38" s="96"/>
      <c r="DF38" s="96"/>
      <c r="DG38" s="96">
        <v>0</v>
      </c>
      <c r="DH38" s="96"/>
      <c r="DI38" s="96"/>
      <c r="DJ38" s="96"/>
      <c r="DK38" s="96"/>
      <c r="DL38" s="96"/>
      <c r="DM38" s="96"/>
      <c r="DN38" s="96"/>
      <c r="DO38" s="96"/>
      <c r="DP38" s="96"/>
      <c r="DQ38" s="96"/>
      <c r="DR38" s="96"/>
      <c r="DS38" s="96"/>
      <c r="DT38" s="96"/>
      <c r="DU38" s="96"/>
      <c r="DV38" s="96"/>
      <c r="DW38" s="96"/>
      <c r="DX38" s="96"/>
      <c r="DY38" s="96"/>
      <c r="DZ38" s="96"/>
      <c r="EA38" s="96"/>
      <c r="EB38" s="96"/>
      <c r="EC38" s="96"/>
      <c r="ED38" s="96"/>
      <c r="EE38" s="96"/>
      <c r="EF38" s="96"/>
      <c r="EG38" s="96"/>
      <c r="EH38" s="96"/>
      <c r="EI38" s="96"/>
      <c r="EJ38" s="96"/>
      <c r="EK38" s="96"/>
      <c r="EL38" s="96"/>
      <c r="EM38" s="96">
        <v>0</v>
      </c>
      <c r="EO38" s="95">
        <f t="shared" si="2"/>
        <v>0</v>
      </c>
      <c r="EP38" s="70">
        <v>0</v>
      </c>
      <c r="EQ38" s="13">
        <f t="shared" si="3"/>
        <v>0</v>
      </c>
      <c r="ER38" s="13"/>
      <c r="ES38" s="13"/>
      <c r="ET38" s="13"/>
      <c r="EU38" s="13"/>
      <c r="EV38" s="1"/>
      <c r="EW38" s="13"/>
      <c r="EX38" s="13"/>
      <c r="EY38" s="8"/>
      <c r="FE38" s="196"/>
      <c r="FF38" s="196"/>
      <c r="FK38" s="201"/>
    </row>
    <row r="39" spans="1:167" ht="21" hidden="1" customHeight="1" x14ac:dyDescent="0.55000000000000004">
      <c r="A39" s="28" t="s">
        <v>168</v>
      </c>
      <c r="B39" s="1" t="s">
        <v>204</v>
      </c>
      <c r="C39" s="1" t="s">
        <v>201</v>
      </c>
      <c r="D39" s="1" t="s">
        <v>108</v>
      </c>
      <c r="E39" s="77" t="s">
        <v>205</v>
      </c>
      <c r="F39" s="80" t="s">
        <v>203</v>
      </c>
      <c r="G39" s="2" t="s">
        <v>122</v>
      </c>
      <c r="I39" s="4"/>
      <c r="J39" s="4"/>
      <c r="K39" s="4"/>
      <c r="L39" s="4"/>
      <c r="M39" s="4"/>
      <c r="N39" s="189"/>
      <c r="O39" s="97"/>
      <c r="P39" s="82">
        <v>0</v>
      </c>
      <c r="Q39" s="82">
        <v>0</v>
      </c>
      <c r="R39" s="80"/>
      <c r="S39" s="80"/>
      <c r="T39" s="80"/>
      <c r="U39" s="80"/>
      <c r="V39" s="80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80"/>
      <c r="AU39" s="80"/>
      <c r="AV39" s="82">
        <v>0</v>
      </c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>
        <v>0</v>
      </c>
      <c r="CC39" s="96"/>
      <c r="CD39" s="96"/>
      <c r="CE39" s="96"/>
      <c r="CF39" s="96"/>
      <c r="CG39" s="96"/>
      <c r="CH39" s="96"/>
      <c r="CI39" s="96"/>
      <c r="CJ39" s="96"/>
      <c r="CK39" s="96"/>
      <c r="CL39" s="96"/>
      <c r="CM39" s="96"/>
      <c r="CN39" s="96"/>
      <c r="CO39" s="96"/>
      <c r="CP39" s="96"/>
      <c r="CQ39" s="96"/>
      <c r="CR39" s="96"/>
      <c r="CS39" s="96"/>
      <c r="CT39" s="96"/>
      <c r="CU39" s="96"/>
      <c r="CV39" s="96"/>
      <c r="CW39" s="96"/>
      <c r="CX39" s="96"/>
      <c r="CY39" s="96"/>
      <c r="CZ39" s="96"/>
      <c r="DA39" s="96"/>
      <c r="DB39" s="96"/>
      <c r="DC39" s="96"/>
      <c r="DD39" s="96"/>
      <c r="DE39" s="96"/>
      <c r="DF39" s="96"/>
      <c r="DG39" s="96">
        <v>0</v>
      </c>
      <c r="DH39" s="96"/>
      <c r="DI39" s="96"/>
      <c r="DJ39" s="96"/>
      <c r="DK39" s="96"/>
      <c r="DL39" s="96"/>
      <c r="DM39" s="96"/>
      <c r="DN39" s="96"/>
      <c r="DO39" s="96"/>
      <c r="DP39" s="96"/>
      <c r="DQ39" s="96"/>
      <c r="DR39" s="96"/>
      <c r="DS39" s="96"/>
      <c r="DT39" s="96"/>
      <c r="DU39" s="96"/>
      <c r="DV39" s="96"/>
      <c r="DW39" s="96"/>
      <c r="DX39" s="96"/>
      <c r="DY39" s="96"/>
      <c r="DZ39" s="96"/>
      <c r="EA39" s="96"/>
      <c r="EB39" s="96"/>
      <c r="EC39" s="96"/>
      <c r="ED39" s="96"/>
      <c r="EE39" s="96"/>
      <c r="EF39" s="96"/>
      <c r="EG39" s="96"/>
      <c r="EH39" s="96"/>
      <c r="EI39" s="96"/>
      <c r="EJ39" s="96"/>
      <c r="EK39" s="96"/>
      <c r="EL39" s="96"/>
      <c r="EM39" s="96">
        <v>0</v>
      </c>
      <c r="EO39" s="95">
        <f t="shared" si="2"/>
        <v>0</v>
      </c>
      <c r="EP39" s="70">
        <v>0</v>
      </c>
      <c r="EQ39" s="13">
        <f t="shared" si="3"/>
        <v>0</v>
      </c>
      <c r="ER39" s="13"/>
      <c r="ES39" s="13"/>
      <c r="ET39" s="13"/>
      <c r="EU39" s="13"/>
      <c r="EV39" s="1"/>
      <c r="EW39" s="13"/>
      <c r="EX39" s="13"/>
      <c r="EY39" s="8"/>
      <c r="FE39" s="196"/>
      <c r="FF39" s="196"/>
      <c r="FG39" s="219" t="s">
        <v>143</v>
      </c>
      <c r="FH39" s="24">
        <f>FH35+FH37</f>
        <v>196375875.79250002</v>
      </c>
      <c r="FI39" s="111"/>
      <c r="FJ39" s="24">
        <v>160000000</v>
      </c>
      <c r="FK39" s="201"/>
    </row>
    <row r="40" spans="1:167" ht="21" hidden="1" customHeight="1" outlineLevel="1" x14ac:dyDescent="0.55000000000000004">
      <c r="A40" s="28" t="s">
        <v>168</v>
      </c>
      <c r="B40" s="1" t="s">
        <v>206</v>
      </c>
      <c r="C40" s="1" t="s">
        <v>201</v>
      </c>
      <c r="D40" s="1" t="s">
        <v>108</v>
      </c>
      <c r="E40" s="77" t="s">
        <v>205</v>
      </c>
      <c r="F40" s="80" t="s">
        <v>203</v>
      </c>
      <c r="G40" s="2" t="s">
        <v>122</v>
      </c>
      <c r="I40" s="4"/>
      <c r="J40" s="4"/>
      <c r="K40" s="4"/>
      <c r="L40" s="4"/>
      <c r="M40" s="4"/>
      <c r="N40" s="189"/>
      <c r="O40" s="97"/>
      <c r="P40" s="82">
        <v>0</v>
      </c>
      <c r="Q40" s="82">
        <v>0</v>
      </c>
      <c r="R40" s="80"/>
      <c r="S40" s="80"/>
      <c r="T40" s="80"/>
      <c r="U40" s="80"/>
      <c r="V40" s="80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80"/>
      <c r="AU40" s="80"/>
      <c r="AV40" s="82">
        <v>0</v>
      </c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96">
        <v>0</v>
      </c>
      <c r="CC40" s="96"/>
      <c r="CD40" s="96"/>
      <c r="CE40" s="96"/>
      <c r="CF40" s="96"/>
      <c r="CG40" s="96"/>
      <c r="CH40" s="96"/>
      <c r="CI40" s="96"/>
      <c r="CJ40" s="96"/>
      <c r="CK40" s="96"/>
      <c r="CL40" s="96"/>
      <c r="CM40" s="96"/>
      <c r="CN40" s="96"/>
      <c r="CO40" s="96"/>
      <c r="CP40" s="96"/>
      <c r="CQ40" s="96"/>
      <c r="CR40" s="96"/>
      <c r="CS40" s="96"/>
      <c r="CT40" s="96"/>
      <c r="CU40" s="96"/>
      <c r="CV40" s="96"/>
      <c r="CW40" s="96"/>
      <c r="CX40" s="96"/>
      <c r="CY40" s="96"/>
      <c r="CZ40" s="96"/>
      <c r="DA40" s="96"/>
      <c r="DB40" s="96"/>
      <c r="DC40" s="96"/>
      <c r="DD40" s="96"/>
      <c r="DE40" s="96"/>
      <c r="DF40" s="96"/>
      <c r="DG40" s="96">
        <v>0</v>
      </c>
      <c r="DH40" s="96"/>
      <c r="DI40" s="96"/>
      <c r="DJ40" s="96"/>
      <c r="DK40" s="96"/>
      <c r="DL40" s="96"/>
      <c r="DM40" s="96"/>
      <c r="DN40" s="96"/>
      <c r="DO40" s="96"/>
      <c r="DP40" s="96"/>
      <c r="DQ40" s="96"/>
      <c r="DR40" s="96"/>
      <c r="DS40" s="96"/>
      <c r="DT40" s="96"/>
      <c r="DU40" s="96"/>
      <c r="DV40" s="96"/>
      <c r="DW40" s="96"/>
      <c r="DX40" s="96"/>
      <c r="DY40" s="96"/>
      <c r="DZ40" s="96"/>
      <c r="EA40" s="96"/>
      <c r="EB40" s="96"/>
      <c r="EC40" s="96"/>
      <c r="ED40" s="96"/>
      <c r="EE40" s="96"/>
      <c r="EF40" s="96"/>
      <c r="EG40" s="96"/>
      <c r="EH40" s="96"/>
      <c r="EI40" s="96"/>
      <c r="EJ40" s="96"/>
      <c r="EK40" s="96"/>
      <c r="EL40" s="96"/>
      <c r="EM40" s="96">
        <v>0</v>
      </c>
      <c r="EO40" s="95">
        <f t="shared" si="2"/>
        <v>0</v>
      </c>
      <c r="EP40" s="70">
        <v>0</v>
      </c>
      <c r="EQ40" s="13">
        <f t="shared" si="3"/>
        <v>0</v>
      </c>
      <c r="ER40" s="13"/>
      <c r="ES40" s="13"/>
      <c r="ET40" s="13"/>
      <c r="EU40" s="13"/>
      <c r="EV40" s="1"/>
      <c r="EW40" s="13"/>
      <c r="EX40" s="13"/>
      <c r="EY40" s="8"/>
      <c r="FE40" s="196"/>
      <c r="FF40" s="196"/>
      <c r="FK40" s="201"/>
    </row>
    <row r="41" spans="1:167" ht="21" hidden="1" customHeight="1" outlineLevel="1" x14ac:dyDescent="0.55000000000000004">
      <c r="A41" s="28" t="s">
        <v>207</v>
      </c>
      <c r="B41" s="2" t="s">
        <v>208</v>
      </c>
      <c r="C41" s="2" t="s">
        <v>209</v>
      </c>
      <c r="D41" s="2" t="s">
        <v>210</v>
      </c>
      <c r="E41" s="77" t="s">
        <v>211</v>
      </c>
      <c r="F41" s="92" t="s">
        <v>203</v>
      </c>
      <c r="G41" s="2" t="s">
        <v>122</v>
      </c>
      <c r="I41" s="4"/>
      <c r="J41" s="4"/>
      <c r="K41" s="4"/>
      <c r="L41" s="4"/>
      <c r="M41" s="4"/>
      <c r="N41" s="189"/>
      <c r="O41" s="97"/>
      <c r="P41" s="184">
        <v>0</v>
      </c>
      <c r="Q41" s="184">
        <v>0</v>
      </c>
      <c r="R41" s="183"/>
      <c r="S41" s="183"/>
      <c r="T41" s="183"/>
      <c r="U41" s="183"/>
      <c r="V41" s="18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183"/>
      <c r="AU41" s="183"/>
      <c r="AV41" s="184">
        <v>0</v>
      </c>
      <c r="AW41" s="97"/>
      <c r="AX41" s="97"/>
      <c r="AY41" s="97"/>
      <c r="AZ41" s="96"/>
      <c r="BA41" s="96"/>
      <c r="BB41" s="97"/>
      <c r="BC41" s="97"/>
      <c r="BD41" s="97"/>
      <c r="BE41" s="97"/>
      <c r="BF41" s="97"/>
      <c r="BG41" s="96"/>
      <c r="BH41" s="96"/>
      <c r="BI41" s="97"/>
      <c r="BJ41" s="97"/>
      <c r="BK41" s="97"/>
      <c r="BL41" s="97"/>
      <c r="BM41" s="97"/>
      <c r="BN41" s="96"/>
      <c r="BO41" s="96"/>
      <c r="BP41" s="97"/>
      <c r="BQ41" s="97"/>
      <c r="BR41" s="97"/>
      <c r="BS41" s="97"/>
      <c r="BT41" s="97"/>
      <c r="BU41" s="96"/>
      <c r="BV41" s="96"/>
      <c r="BW41" s="97"/>
      <c r="BX41" s="97"/>
      <c r="BY41" s="97"/>
      <c r="BZ41" s="97"/>
      <c r="CA41" s="97"/>
      <c r="CB41" s="97">
        <v>0</v>
      </c>
      <c r="CC41" s="97"/>
      <c r="CD41" s="97"/>
      <c r="CE41" s="97"/>
      <c r="CF41" s="97"/>
      <c r="CG41" s="97"/>
      <c r="CH41" s="96"/>
      <c r="CI41" s="96"/>
      <c r="CJ41" s="97"/>
      <c r="CK41" s="97"/>
      <c r="CL41" s="97"/>
      <c r="CM41" s="97"/>
      <c r="CN41" s="97"/>
      <c r="CO41" s="96"/>
      <c r="CP41" s="96"/>
      <c r="CQ41" s="97"/>
      <c r="CR41" s="97"/>
      <c r="CS41" s="97"/>
      <c r="CT41" s="97"/>
      <c r="CU41" s="97"/>
      <c r="CV41" s="96"/>
      <c r="CW41" s="96"/>
      <c r="CX41" s="97"/>
      <c r="CY41" s="97"/>
      <c r="CZ41" s="97"/>
      <c r="DA41" s="97"/>
      <c r="DB41" s="97"/>
      <c r="DC41" s="96"/>
      <c r="DD41" s="96"/>
      <c r="DE41" s="97"/>
      <c r="DF41" s="97"/>
      <c r="DG41" s="11">
        <v>0</v>
      </c>
      <c r="DH41" s="97"/>
      <c r="DI41" s="97"/>
      <c r="DJ41" s="97"/>
      <c r="DK41" s="97"/>
      <c r="DL41" s="97"/>
      <c r="DM41" s="97"/>
      <c r="DN41" s="97"/>
      <c r="DO41" s="97"/>
      <c r="DP41" s="97"/>
      <c r="DQ41" s="97"/>
      <c r="DR41" s="97"/>
      <c r="DS41" s="97"/>
      <c r="DT41" s="97"/>
      <c r="DU41" s="97"/>
      <c r="DV41" s="97"/>
      <c r="DW41" s="97"/>
      <c r="DX41" s="97"/>
      <c r="DY41" s="97"/>
      <c r="DZ41" s="97"/>
      <c r="EA41" s="97"/>
      <c r="EB41" s="97"/>
      <c r="EC41" s="97"/>
      <c r="ED41" s="97"/>
      <c r="EE41" s="97"/>
      <c r="EF41" s="97"/>
      <c r="EG41" s="97"/>
      <c r="EH41" s="97"/>
      <c r="EI41" s="97"/>
      <c r="EJ41" s="97"/>
      <c r="EK41" s="97"/>
      <c r="EL41" s="97"/>
      <c r="EM41" s="11">
        <v>0</v>
      </c>
      <c r="EO41" s="65">
        <f t="shared" si="2"/>
        <v>0</v>
      </c>
      <c r="EP41" s="70">
        <v>36000000</v>
      </c>
      <c r="EQ41" s="13">
        <f t="shared" si="3"/>
        <v>-36000000</v>
      </c>
      <c r="ER41" s="13"/>
      <c r="ES41" s="30" t="s">
        <v>212</v>
      </c>
      <c r="ET41" s="13"/>
      <c r="EU41" s="13"/>
      <c r="EV41" s="1"/>
      <c r="EY41" s="8"/>
      <c r="FE41" s="196"/>
      <c r="FF41" s="196"/>
      <c r="FK41" s="201"/>
    </row>
    <row r="42" spans="1:167" ht="21" hidden="1" customHeight="1" outlineLevel="1" x14ac:dyDescent="0.55000000000000004">
      <c r="A42" s="28" t="s">
        <v>207</v>
      </c>
      <c r="B42" s="31" t="s">
        <v>213</v>
      </c>
      <c r="C42" s="1" t="s">
        <v>214</v>
      </c>
      <c r="D42" s="1" t="s">
        <v>210</v>
      </c>
      <c r="E42" s="268" t="s">
        <v>215</v>
      </c>
      <c r="F42" s="183" t="s">
        <v>216</v>
      </c>
      <c r="G42" s="1" t="s">
        <v>179</v>
      </c>
      <c r="I42" s="4"/>
      <c r="J42" s="4"/>
      <c r="K42" s="4"/>
      <c r="L42" s="4"/>
      <c r="M42" s="4"/>
      <c r="N42" s="189"/>
      <c r="O42" s="97"/>
      <c r="P42" s="82">
        <v>0</v>
      </c>
      <c r="Q42" s="82">
        <v>0</v>
      </c>
      <c r="R42" s="92"/>
      <c r="S42" s="92"/>
      <c r="T42" s="92"/>
      <c r="U42" s="92"/>
      <c r="V42" s="92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92"/>
      <c r="AU42" s="92"/>
      <c r="AV42" s="82">
        <v>0</v>
      </c>
      <c r="AW42" s="97"/>
      <c r="AX42" s="97"/>
      <c r="AY42" s="97"/>
      <c r="AZ42" s="96"/>
      <c r="BA42" s="96"/>
      <c r="BB42" s="97"/>
      <c r="BC42" s="97"/>
      <c r="BD42" s="97"/>
      <c r="BE42" s="97"/>
      <c r="BF42" s="97"/>
      <c r="BG42" s="96"/>
      <c r="BH42" s="96"/>
      <c r="BI42" s="97"/>
      <c r="BJ42" s="97"/>
      <c r="BK42" s="97"/>
      <c r="BL42" s="97"/>
      <c r="BM42" s="97"/>
      <c r="BN42" s="96"/>
      <c r="BO42" s="96"/>
      <c r="BP42" s="97"/>
      <c r="BQ42" s="97"/>
      <c r="BR42" s="97"/>
      <c r="BS42" s="97"/>
      <c r="BT42" s="97"/>
      <c r="BU42" s="96"/>
      <c r="BV42" s="96"/>
      <c r="BW42" s="97"/>
      <c r="BX42" s="97"/>
      <c r="BY42" s="97"/>
      <c r="BZ42" s="97"/>
      <c r="CA42" s="97"/>
      <c r="CB42" s="97">
        <v>0</v>
      </c>
      <c r="CC42" s="97"/>
      <c r="CD42" s="97"/>
      <c r="CE42" s="97"/>
      <c r="CF42" s="97"/>
      <c r="CG42" s="97"/>
      <c r="CH42" s="96"/>
      <c r="CI42" s="96"/>
      <c r="CJ42" s="97"/>
      <c r="CK42" s="97"/>
      <c r="CL42" s="97"/>
      <c r="CM42" s="97"/>
      <c r="CN42" s="97"/>
      <c r="CO42" s="96"/>
      <c r="CP42" s="96"/>
      <c r="CQ42" s="97"/>
      <c r="CR42" s="97"/>
      <c r="CS42" s="97"/>
      <c r="CT42" s="97"/>
      <c r="CU42" s="97"/>
      <c r="CV42" s="96"/>
      <c r="CW42" s="96"/>
      <c r="CX42" s="97"/>
      <c r="CY42" s="97"/>
      <c r="CZ42" s="97"/>
      <c r="DA42" s="97"/>
      <c r="DB42" s="97"/>
      <c r="DC42" s="96"/>
      <c r="DD42" s="96"/>
      <c r="DE42" s="97"/>
      <c r="DF42" s="97"/>
      <c r="DG42" s="11">
        <v>3180000</v>
      </c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11">
        <v>6360000</v>
      </c>
      <c r="EO42" s="65">
        <f t="shared" si="2"/>
        <v>9540000</v>
      </c>
      <c r="EP42" s="70">
        <v>0</v>
      </c>
      <c r="EQ42" s="13">
        <f t="shared" si="3"/>
        <v>9540000</v>
      </c>
      <c r="ER42" s="13"/>
      <c r="ES42" s="8" t="s">
        <v>217</v>
      </c>
      <c r="ET42" s="13"/>
      <c r="EU42" s="13"/>
      <c r="EV42" s="1"/>
      <c r="EY42" s="8"/>
      <c r="FE42" s="196"/>
      <c r="FF42" s="196"/>
      <c r="FK42" s="201"/>
    </row>
    <row r="43" spans="1:167" ht="21" customHeight="1" outlineLevel="1" x14ac:dyDescent="0.55000000000000004">
      <c r="A43" s="28" t="s">
        <v>168</v>
      </c>
      <c r="B43" s="1" t="s">
        <v>169</v>
      </c>
      <c r="C43" s="1" t="s">
        <v>218</v>
      </c>
      <c r="D43" s="1" t="s">
        <v>108</v>
      </c>
      <c r="E43" s="77" t="s">
        <v>219</v>
      </c>
      <c r="F43" s="80" t="s">
        <v>220</v>
      </c>
      <c r="G43" s="74" t="s">
        <v>9</v>
      </c>
      <c r="H43" s="202">
        <v>0.55000000000000004</v>
      </c>
      <c r="I43" s="180"/>
      <c r="J43" s="180"/>
      <c r="K43" s="180"/>
      <c r="L43" s="180"/>
      <c r="M43" s="180"/>
      <c r="N43" s="189"/>
      <c r="O43" s="97"/>
      <c r="P43" s="82">
        <v>0</v>
      </c>
      <c r="Q43" s="82">
        <v>2200000</v>
      </c>
      <c r="R43" s="7"/>
      <c r="S43" s="7"/>
      <c r="T43" s="7"/>
      <c r="U43" s="7"/>
      <c r="V43" s="7"/>
      <c r="W43" s="2"/>
      <c r="X43" s="2"/>
      <c r="Y43" s="1"/>
      <c r="Z43" s="1"/>
      <c r="AA43" s="1"/>
      <c r="AB43" s="1"/>
      <c r="AC43" s="1"/>
      <c r="AD43" s="2"/>
      <c r="AE43" s="2"/>
      <c r="AF43" s="1"/>
      <c r="AG43" s="1"/>
      <c r="AH43" s="1"/>
      <c r="AI43" s="1"/>
      <c r="AJ43" s="1"/>
      <c r="AK43" s="2"/>
      <c r="AL43" s="2"/>
      <c r="AM43" s="1"/>
      <c r="AN43" s="1"/>
      <c r="AO43" s="1"/>
      <c r="AP43" s="1"/>
      <c r="AQ43" s="1"/>
      <c r="AR43" s="2"/>
      <c r="AS43" s="2"/>
      <c r="AT43" s="7"/>
      <c r="AU43" s="7"/>
      <c r="AV43" s="82">
        <v>2200000</v>
      </c>
      <c r="CB43" s="96">
        <v>0</v>
      </c>
      <c r="CC43" s="98"/>
      <c r="CD43" s="98"/>
      <c r="CE43" s="98"/>
      <c r="CF43" s="98"/>
      <c r="CG43" s="98"/>
      <c r="CH43" s="168"/>
      <c r="CI43" s="168"/>
      <c r="CJ43" s="98"/>
      <c r="CK43" s="98"/>
      <c r="CL43" s="98"/>
      <c r="CM43" s="98"/>
      <c r="CN43" s="98"/>
      <c r="CO43" s="168"/>
      <c r="CP43" s="168"/>
      <c r="CQ43" s="98"/>
      <c r="CR43" s="98"/>
      <c r="CS43" s="98"/>
      <c r="CT43" s="98"/>
      <c r="CU43" s="98"/>
      <c r="CV43" s="168"/>
      <c r="CW43" s="168"/>
      <c r="CX43" s="98"/>
      <c r="CY43" s="98"/>
      <c r="CZ43" s="98"/>
      <c r="DA43" s="98"/>
      <c r="DB43" s="98"/>
      <c r="DC43" s="168"/>
      <c r="DD43" s="168"/>
      <c r="DE43" s="98"/>
      <c r="DF43" s="98"/>
      <c r="DG43" s="96">
        <v>0</v>
      </c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6">
        <v>0</v>
      </c>
      <c r="EO43" s="42">
        <f t="shared" si="2"/>
        <v>4400000</v>
      </c>
      <c r="EP43" s="70">
        <v>4400000</v>
      </c>
      <c r="EQ43" s="13">
        <f t="shared" si="3"/>
        <v>0</v>
      </c>
      <c r="ER43" s="13"/>
      <c r="ES43" s="65" t="s">
        <v>221</v>
      </c>
      <c r="ET43" s="13"/>
      <c r="EU43" s="13"/>
      <c r="EV43" s="1"/>
      <c r="EW43" s="13"/>
      <c r="EX43" s="13"/>
      <c r="EY43" s="8"/>
      <c r="FE43" s="196"/>
      <c r="FF43" s="196"/>
      <c r="FK43" s="201"/>
    </row>
    <row r="44" spans="1:167" ht="21" customHeight="1" outlineLevel="1" x14ac:dyDescent="0.55000000000000004">
      <c r="A44" s="28" t="s">
        <v>168</v>
      </c>
      <c r="B44" s="1" t="s">
        <v>169</v>
      </c>
      <c r="C44" s="29" t="s">
        <v>222</v>
      </c>
      <c r="D44" s="1" t="s">
        <v>89</v>
      </c>
      <c r="E44" s="78" t="s">
        <v>223</v>
      </c>
      <c r="F44" s="81" t="s">
        <v>224</v>
      </c>
      <c r="G44" s="43" t="s">
        <v>225</v>
      </c>
      <c r="I44" s="180"/>
      <c r="J44" s="180"/>
      <c r="K44" s="180"/>
      <c r="L44" s="180"/>
      <c r="M44" s="180"/>
      <c r="N44" s="189"/>
      <c r="O44" s="97"/>
      <c r="P44" s="82">
        <v>0</v>
      </c>
      <c r="Q44" s="82">
        <v>0</v>
      </c>
      <c r="R44" s="7"/>
      <c r="S44" s="7"/>
      <c r="T44" s="7"/>
      <c r="U44" s="7"/>
      <c r="V44" s="7"/>
      <c r="W44" s="2"/>
      <c r="X44" s="2"/>
      <c r="Y44" s="1"/>
      <c r="Z44" s="1"/>
      <c r="AA44" s="1"/>
      <c r="AB44" s="1"/>
      <c r="AC44" s="1"/>
      <c r="AD44" s="2"/>
      <c r="AE44" s="2"/>
      <c r="AF44" s="1"/>
      <c r="AG44" s="1"/>
      <c r="AH44" s="1"/>
      <c r="AI44" s="1"/>
      <c r="AJ44" s="1"/>
      <c r="AK44" s="2"/>
      <c r="AL44" s="2"/>
      <c r="AM44" s="1"/>
      <c r="AN44" s="1"/>
      <c r="AO44" s="1"/>
      <c r="AP44" s="1"/>
      <c r="AQ44" s="1"/>
      <c r="AR44" s="2"/>
      <c r="AS44" s="2"/>
      <c r="AT44" s="7"/>
      <c r="AU44" s="7"/>
      <c r="AV44" s="82">
        <v>0</v>
      </c>
      <c r="BM44" s="1" t="s">
        <v>226</v>
      </c>
      <c r="CB44" s="97">
        <v>0</v>
      </c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11">
        <v>1050000</v>
      </c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7">
        <v>1050000</v>
      </c>
      <c r="EO44" s="42">
        <f t="shared" si="2"/>
        <v>2100000</v>
      </c>
      <c r="EP44" s="70">
        <v>1000000</v>
      </c>
      <c r="EQ44" s="13">
        <f t="shared" si="3"/>
        <v>1100000</v>
      </c>
      <c r="ER44" s="13"/>
      <c r="ES44" s="200" t="s">
        <v>227</v>
      </c>
      <c r="ET44" s="13"/>
      <c r="EU44" s="13"/>
      <c r="EV44" s="1"/>
      <c r="EW44" s="13"/>
      <c r="EX44" s="13"/>
      <c r="EY44" s="8"/>
      <c r="FE44" s="196"/>
      <c r="FF44" s="196"/>
      <c r="FK44" s="201"/>
    </row>
    <row r="45" spans="1:167" ht="21" customHeight="1" outlineLevel="1" x14ac:dyDescent="0.55000000000000004">
      <c r="A45" s="28" t="s">
        <v>207</v>
      </c>
      <c r="B45" s="1" t="s">
        <v>169</v>
      </c>
      <c r="C45" s="1" t="s">
        <v>228</v>
      </c>
      <c r="D45" s="1" t="s">
        <v>89</v>
      </c>
      <c r="E45" s="77" t="s">
        <v>229</v>
      </c>
      <c r="F45" s="92" t="s">
        <v>230</v>
      </c>
      <c r="G45" s="74" t="s">
        <v>231</v>
      </c>
      <c r="I45" s="180"/>
      <c r="J45" s="180"/>
      <c r="K45" s="180"/>
      <c r="L45" s="180"/>
      <c r="M45" s="180"/>
      <c r="N45" s="189"/>
      <c r="O45" s="97"/>
      <c r="P45" s="82">
        <v>0</v>
      </c>
      <c r="Q45" s="82">
        <v>0</v>
      </c>
      <c r="W45" s="2"/>
      <c r="X45" s="2"/>
      <c r="Y45" s="1"/>
      <c r="Z45" s="1"/>
      <c r="AA45" s="1"/>
      <c r="AB45" s="1"/>
      <c r="AC45" s="1"/>
      <c r="AD45" s="2"/>
      <c r="AE45" s="2"/>
      <c r="AF45" s="1"/>
      <c r="AG45" s="1"/>
      <c r="AH45" s="1"/>
      <c r="AI45" s="1"/>
      <c r="AJ45" s="1"/>
      <c r="AK45" s="2"/>
      <c r="AL45" s="2"/>
      <c r="AM45" s="1"/>
      <c r="AN45" s="1"/>
      <c r="AO45" s="1"/>
      <c r="AP45" s="1"/>
      <c r="AQ45" s="1"/>
      <c r="AR45" s="2"/>
      <c r="AS45" s="2"/>
      <c r="AV45" s="82">
        <v>0</v>
      </c>
      <c r="CB45" s="96">
        <v>0</v>
      </c>
      <c r="CC45" s="96">
        <v>0</v>
      </c>
      <c r="CD45" s="96">
        <v>0</v>
      </c>
      <c r="CE45" s="96">
        <v>0</v>
      </c>
      <c r="CF45" s="96">
        <v>0</v>
      </c>
      <c r="CG45" s="96">
        <v>0</v>
      </c>
      <c r="CH45" s="96">
        <v>0</v>
      </c>
      <c r="CI45" s="96">
        <v>0</v>
      </c>
      <c r="CJ45" s="96">
        <v>0</v>
      </c>
      <c r="CK45" s="96">
        <v>0</v>
      </c>
      <c r="CL45" s="96">
        <v>0</v>
      </c>
      <c r="CM45" s="96">
        <v>0</v>
      </c>
      <c r="CN45" s="96">
        <v>0</v>
      </c>
      <c r="CO45" s="96">
        <v>0</v>
      </c>
      <c r="CP45" s="96">
        <v>0</v>
      </c>
      <c r="CQ45" s="96">
        <v>0</v>
      </c>
      <c r="CR45" s="96">
        <v>0</v>
      </c>
      <c r="CS45" s="96">
        <v>0</v>
      </c>
      <c r="CT45" s="96">
        <v>0</v>
      </c>
      <c r="CU45" s="96">
        <v>0</v>
      </c>
      <c r="CV45" s="96">
        <v>0</v>
      </c>
      <c r="CW45" s="96">
        <v>0</v>
      </c>
      <c r="CX45" s="96">
        <v>0</v>
      </c>
      <c r="CY45" s="96">
        <v>0</v>
      </c>
      <c r="CZ45" s="96">
        <v>0</v>
      </c>
      <c r="DA45" s="96">
        <v>0</v>
      </c>
      <c r="DB45" s="96">
        <v>0</v>
      </c>
      <c r="DC45" s="96">
        <v>0</v>
      </c>
      <c r="DD45" s="96">
        <v>0</v>
      </c>
      <c r="DE45" s="96">
        <v>0</v>
      </c>
      <c r="DF45" s="96">
        <v>0</v>
      </c>
      <c r="DG45" s="96">
        <v>0</v>
      </c>
      <c r="DH45" s="96">
        <v>0</v>
      </c>
      <c r="DI45" s="96">
        <v>0</v>
      </c>
      <c r="DJ45" s="96">
        <v>0</v>
      </c>
      <c r="DK45" s="96">
        <v>0</v>
      </c>
      <c r="DL45" s="96">
        <v>0</v>
      </c>
      <c r="DM45" s="96">
        <v>0</v>
      </c>
      <c r="DN45" s="96">
        <v>0</v>
      </c>
      <c r="DO45" s="96">
        <v>0</v>
      </c>
      <c r="DP45" s="96">
        <v>0</v>
      </c>
      <c r="DQ45" s="96">
        <v>0</v>
      </c>
      <c r="DR45" s="96">
        <v>0</v>
      </c>
      <c r="DS45" s="96">
        <v>0</v>
      </c>
      <c r="DT45" s="96">
        <v>0</v>
      </c>
      <c r="DU45" s="96">
        <v>0</v>
      </c>
      <c r="DV45" s="96">
        <v>0</v>
      </c>
      <c r="DW45" s="96">
        <v>0</v>
      </c>
      <c r="DX45" s="96">
        <v>0</v>
      </c>
      <c r="DY45" s="96">
        <v>0</v>
      </c>
      <c r="DZ45" s="96">
        <v>0</v>
      </c>
      <c r="EA45" s="96">
        <v>0</v>
      </c>
      <c r="EB45" s="96">
        <v>0</v>
      </c>
      <c r="EC45" s="96">
        <v>0</v>
      </c>
      <c r="ED45" s="96">
        <v>0</v>
      </c>
      <c r="EE45" s="96">
        <v>0</v>
      </c>
      <c r="EF45" s="96">
        <v>0</v>
      </c>
      <c r="EG45" s="96">
        <v>0</v>
      </c>
      <c r="EH45" s="96">
        <v>0</v>
      </c>
      <c r="EI45" s="96">
        <v>0</v>
      </c>
      <c r="EJ45" s="96">
        <v>0</v>
      </c>
      <c r="EK45" s="96">
        <v>0</v>
      </c>
      <c r="EL45" s="96">
        <v>0</v>
      </c>
      <c r="EM45" s="96">
        <v>0</v>
      </c>
      <c r="EO45" s="42">
        <f t="shared" si="2"/>
        <v>0</v>
      </c>
      <c r="EP45" s="70">
        <v>0</v>
      </c>
      <c r="EQ45" s="13">
        <f t="shared" si="3"/>
        <v>0</v>
      </c>
      <c r="ER45" s="13"/>
      <c r="ES45" s="65" t="s">
        <v>232</v>
      </c>
      <c r="ET45" s="13"/>
      <c r="EU45" s="13"/>
      <c r="EV45" s="1"/>
      <c r="EW45" s="13"/>
      <c r="EX45" s="13"/>
      <c r="EY45" s="8"/>
      <c r="FE45" s="196"/>
      <c r="FF45" s="196"/>
      <c r="FK45" s="201"/>
    </row>
    <row r="46" spans="1:167" ht="21" customHeight="1" outlineLevel="1" x14ac:dyDescent="0.55000000000000004">
      <c r="A46" s="28" t="s">
        <v>168</v>
      </c>
      <c r="B46" s="1" t="s">
        <v>169</v>
      </c>
      <c r="C46" s="1" t="s">
        <v>233</v>
      </c>
      <c r="D46" s="1" t="s">
        <v>108</v>
      </c>
      <c r="E46" s="77" t="s">
        <v>234</v>
      </c>
      <c r="F46" s="80" t="s">
        <v>235</v>
      </c>
      <c r="G46" s="74" t="s">
        <v>9</v>
      </c>
      <c r="I46" s="180"/>
      <c r="J46" s="180"/>
      <c r="K46" s="180"/>
      <c r="L46" s="180"/>
      <c r="M46" s="180"/>
      <c r="N46" s="189"/>
      <c r="O46" s="97"/>
      <c r="P46" s="82">
        <v>0</v>
      </c>
      <c r="Q46" s="82"/>
      <c r="R46" s="7"/>
      <c r="S46" s="7"/>
      <c r="T46" s="7"/>
      <c r="U46" s="7"/>
      <c r="V46" s="7"/>
      <c r="W46" s="2"/>
      <c r="X46" s="2"/>
      <c r="Y46" s="1"/>
      <c r="Z46" s="1"/>
      <c r="AA46" s="1"/>
      <c r="AB46" s="1"/>
      <c r="AC46" s="1"/>
      <c r="AD46" s="2"/>
      <c r="AE46" s="2"/>
      <c r="AF46" s="1"/>
      <c r="AG46" s="1"/>
      <c r="AH46" s="1"/>
      <c r="AI46" s="1"/>
      <c r="AJ46" s="1"/>
      <c r="AK46" s="2"/>
      <c r="AL46" s="2"/>
      <c r="AM46" s="1"/>
      <c r="AN46" s="1"/>
      <c r="AO46" s="1"/>
      <c r="AP46" s="1"/>
      <c r="AQ46" s="1"/>
      <c r="AR46" s="2"/>
      <c r="AS46" s="2"/>
      <c r="AT46" s="7"/>
      <c r="AU46" s="7"/>
      <c r="AV46" s="82">
        <v>2600000</v>
      </c>
      <c r="CB46" s="96">
        <v>2300000</v>
      </c>
      <c r="CC46" s="98"/>
      <c r="CD46" s="98"/>
      <c r="CE46" s="98"/>
      <c r="CF46" s="98"/>
      <c r="CG46" s="98"/>
      <c r="CH46" s="168"/>
      <c r="CI46" s="168"/>
      <c r="CJ46" s="98"/>
      <c r="CK46" s="98"/>
      <c r="CL46" s="98"/>
      <c r="CM46" s="98"/>
      <c r="CN46" s="98"/>
      <c r="CO46" s="168"/>
      <c r="CP46" s="168"/>
      <c r="CQ46" s="98"/>
      <c r="CR46" s="98"/>
      <c r="CS46" s="98"/>
      <c r="CT46" s="98"/>
      <c r="CU46" s="98"/>
      <c r="CV46" s="168"/>
      <c r="CW46" s="168"/>
      <c r="CX46" s="98"/>
      <c r="CY46" s="98"/>
      <c r="CZ46" s="98"/>
      <c r="DA46" s="98"/>
      <c r="DB46" s="98"/>
      <c r="DC46" s="168"/>
      <c r="DD46" s="168"/>
      <c r="DE46" s="98"/>
      <c r="DF46" s="98"/>
      <c r="DG46" s="96">
        <v>0</v>
      </c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6">
        <v>0</v>
      </c>
      <c r="EO46" s="42">
        <f t="shared" si="2"/>
        <v>4900000</v>
      </c>
      <c r="EP46" s="70">
        <v>4900000</v>
      </c>
      <c r="EQ46" s="13">
        <f t="shared" si="3"/>
        <v>0</v>
      </c>
      <c r="ER46" s="13"/>
      <c r="ES46" s="30"/>
      <c r="ET46" s="13"/>
      <c r="EU46" s="13"/>
      <c r="EV46" s="1"/>
      <c r="EW46" s="13"/>
      <c r="EX46" s="13"/>
      <c r="EY46" s="8"/>
      <c r="FE46" s="196"/>
      <c r="FF46" s="196"/>
      <c r="FK46" s="201"/>
    </row>
    <row r="47" spans="1:167" ht="21" customHeight="1" outlineLevel="1" x14ac:dyDescent="0.55000000000000004">
      <c r="A47" s="28" t="s">
        <v>207</v>
      </c>
      <c r="B47" s="1" t="s">
        <v>169</v>
      </c>
      <c r="C47" s="29" t="s">
        <v>236</v>
      </c>
      <c r="D47" s="1" t="s">
        <v>108</v>
      </c>
      <c r="E47" s="78" t="s">
        <v>237</v>
      </c>
      <c r="F47" s="183" t="s">
        <v>238</v>
      </c>
      <c r="G47" s="43" t="s">
        <v>225</v>
      </c>
      <c r="I47" s="180"/>
      <c r="J47" s="180"/>
      <c r="K47" s="180"/>
      <c r="L47" s="180"/>
      <c r="M47" s="180"/>
      <c r="N47" s="217"/>
      <c r="O47" s="97"/>
      <c r="P47" s="82">
        <v>0</v>
      </c>
      <c r="Q47" s="82"/>
      <c r="W47" s="2"/>
      <c r="X47" s="2"/>
      <c r="Y47" s="1"/>
      <c r="Z47" s="1"/>
      <c r="AA47" s="1"/>
      <c r="AB47" s="1"/>
      <c r="AC47" s="1"/>
      <c r="AD47" s="2"/>
      <c r="AE47" s="2"/>
      <c r="AF47" s="1"/>
      <c r="AG47" s="1"/>
      <c r="AH47" s="1"/>
      <c r="AI47" s="1"/>
      <c r="AJ47" s="1"/>
      <c r="AK47" s="2"/>
      <c r="AL47" s="2"/>
      <c r="AM47" s="1"/>
      <c r="AN47" s="1"/>
      <c r="AO47" s="1"/>
      <c r="AP47" s="1"/>
      <c r="AQ47" s="1"/>
      <c r="AR47" s="2"/>
      <c r="AS47" s="2"/>
      <c r="AV47" s="82"/>
      <c r="CB47" s="97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7">
        <v>980000</v>
      </c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7">
        <v>2410000</v>
      </c>
      <c r="EO47" s="8">
        <f>P47+Q47+AV47+CB47+DG47+EM47</f>
        <v>3390000</v>
      </c>
      <c r="EP47" s="70"/>
      <c r="EQ47" s="13">
        <f>EO47-EP47</f>
        <v>3390000</v>
      </c>
      <c r="ER47" s="13"/>
      <c r="ES47" s="200" t="s">
        <v>239</v>
      </c>
      <c r="ET47" s="13"/>
      <c r="EU47" s="13"/>
      <c r="EV47" s="1"/>
      <c r="EW47" s="13"/>
      <c r="EX47" s="13"/>
      <c r="EY47" s="8"/>
      <c r="FE47" s="196"/>
      <c r="FF47" s="196"/>
      <c r="FK47" s="201"/>
    </row>
    <row r="48" spans="1:167" ht="21" customHeight="1" outlineLevel="1" x14ac:dyDescent="0.55000000000000004">
      <c r="A48" s="28" t="s">
        <v>207</v>
      </c>
      <c r="B48" s="29" t="s">
        <v>240</v>
      </c>
      <c r="C48" s="1" t="s">
        <v>241</v>
      </c>
      <c r="D48" s="1" t="s">
        <v>108</v>
      </c>
      <c r="E48" s="78" t="s">
        <v>242</v>
      </c>
      <c r="F48" s="81" t="s">
        <v>243</v>
      </c>
      <c r="G48" s="43" t="s">
        <v>225</v>
      </c>
      <c r="K48" s="2"/>
      <c r="L48" s="2"/>
      <c r="N48" s="1"/>
      <c r="O48" s="1"/>
      <c r="P48" s="1"/>
      <c r="Q48" s="1"/>
      <c r="R48" s="2"/>
      <c r="S48" s="2"/>
      <c r="T48" s="1"/>
      <c r="U48" s="1"/>
      <c r="V48" s="1"/>
      <c r="W48" s="1"/>
      <c r="X48" s="1"/>
      <c r="Y48" s="2"/>
      <c r="Z48" s="2"/>
      <c r="AA48" s="1"/>
      <c r="AB48" s="1"/>
      <c r="AC48" s="1"/>
      <c r="AD48" s="1"/>
      <c r="AE48" s="1"/>
      <c r="AF48" s="2"/>
      <c r="AG48" s="2"/>
      <c r="AH48" s="1"/>
      <c r="AI48" s="1"/>
      <c r="AJ48" s="1"/>
      <c r="AK48" s="1"/>
      <c r="AL48" s="1"/>
      <c r="AM48" s="11"/>
      <c r="AN48" s="98">
        <v>3000000</v>
      </c>
      <c r="AO48" s="11">
        <v>0</v>
      </c>
      <c r="AP48" s="8">
        <v>3000000</v>
      </c>
      <c r="AQ48" s="70">
        <v>3000000</v>
      </c>
      <c r="AR48" s="13">
        <v>0</v>
      </c>
      <c r="AS48" s="8">
        <v>0</v>
      </c>
      <c r="AT48" s="13">
        <v>3000000</v>
      </c>
      <c r="AU48" s="7"/>
      <c r="AV48" s="82"/>
      <c r="BJ48" s="1" t="s">
        <v>244</v>
      </c>
      <c r="CB48" s="96">
        <v>0</v>
      </c>
      <c r="CC48" s="98"/>
      <c r="CD48" s="98"/>
      <c r="CE48" s="98"/>
      <c r="CF48" s="98"/>
      <c r="CG48" s="98"/>
      <c r="CH48" s="168"/>
      <c r="CI48" s="168"/>
      <c r="CJ48" s="98"/>
      <c r="CK48" s="98"/>
      <c r="CL48" s="98"/>
      <c r="CM48" s="98"/>
      <c r="CN48" s="98"/>
      <c r="CO48" s="168"/>
      <c r="CP48" s="168"/>
      <c r="CQ48" s="98"/>
      <c r="CR48" s="98"/>
      <c r="CS48" s="98"/>
      <c r="CT48" s="98"/>
      <c r="CU48" s="98"/>
      <c r="CV48" s="168"/>
      <c r="CW48" s="168"/>
      <c r="CX48" s="98"/>
      <c r="CY48" s="98"/>
      <c r="CZ48" s="98"/>
      <c r="DA48" s="98"/>
      <c r="DB48" s="98"/>
      <c r="DC48" s="168"/>
      <c r="DD48" s="16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>
        <v>1000000</v>
      </c>
      <c r="EO48" s="8">
        <f t="shared" ref="EO48" si="4">P48+Q48+AV48+CB48+DG48+EM48</f>
        <v>1000000</v>
      </c>
      <c r="EP48" s="70"/>
      <c r="EQ48" s="13">
        <f t="shared" si="3"/>
        <v>1000000</v>
      </c>
      <c r="ER48" s="13"/>
      <c r="ES48" s="8"/>
      <c r="ET48" s="13"/>
      <c r="EU48" s="13"/>
      <c r="EV48" s="30"/>
      <c r="EW48" s="13"/>
      <c r="EX48" s="13"/>
      <c r="EY48" s="8"/>
      <c r="FE48" s="196"/>
      <c r="FF48" s="196"/>
      <c r="FK48" s="201"/>
    </row>
    <row r="49" spans="1:167" ht="21" outlineLevel="1" x14ac:dyDescent="0.55000000000000004">
      <c r="A49" s="28" t="s">
        <v>207</v>
      </c>
      <c r="B49" s="1" t="s">
        <v>240</v>
      </c>
      <c r="C49" s="1" t="s">
        <v>245</v>
      </c>
      <c r="D49" s="1" t="s">
        <v>108</v>
      </c>
      <c r="E49" s="221" t="s">
        <v>246</v>
      </c>
      <c r="F49" s="80" t="s">
        <v>243</v>
      </c>
      <c r="G49" s="182" t="s">
        <v>231</v>
      </c>
      <c r="I49" s="180"/>
      <c r="J49" s="180"/>
      <c r="K49" s="180"/>
      <c r="L49" s="180"/>
      <c r="M49" s="180"/>
      <c r="N49" s="189"/>
      <c r="P49" s="82"/>
      <c r="Q49" s="82">
        <v>0</v>
      </c>
      <c r="R49" s="80"/>
      <c r="S49" s="80"/>
      <c r="T49" s="80"/>
      <c r="U49" s="80"/>
      <c r="V49" s="80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80"/>
      <c r="AU49" s="80"/>
      <c r="AV49" s="82">
        <v>0</v>
      </c>
      <c r="BS49" s="29" t="s">
        <v>247</v>
      </c>
      <c r="BW49" s="1" t="s">
        <v>248</v>
      </c>
      <c r="CB49" s="96">
        <v>0</v>
      </c>
      <c r="CC49" s="7"/>
      <c r="CD49" s="7"/>
      <c r="CE49" s="7"/>
      <c r="CF49" s="7"/>
      <c r="CG49" s="7"/>
      <c r="CH49" s="84"/>
      <c r="CI49" s="84"/>
      <c r="CJ49" s="7"/>
      <c r="CK49" s="7"/>
      <c r="CL49" s="7"/>
      <c r="CM49" s="7"/>
      <c r="CN49" s="7"/>
      <c r="CO49" s="84"/>
      <c r="CP49" s="84"/>
      <c r="CQ49" s="7"/>
      <c r="CR49" s="7"/>
      <c r="CS49" s="7"/>
      <c r="CT49" s="7"/>
      <c r="CU49" s="7"/>
      <c r="CV49" s="84"/>
      <c r="CW49" s="84"/>
      <c r="CX49" s="7"/>
      <c r="CY49" s="7"/>
      <c r="CZ49" s="7"/>
      <c r="DA49" s="7"/>
      <c r="DB49" s="7"/>
      <c r="DC49" s="84"/>
      <c r="DD49" s="84"/>
      <c r="DE49" s="7"/>
      <c r="DF49" s="7"/>
      <c r="DG49" s="83">
        <v>0</v>
      </c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3">
        <v>0</v>
      </c>
      <c r="EO49" s="42">
        <f t="shared" si="2"/>
        <v>0</v>
      </c>
      <c r="EP49" s="70">
        <v>3000000</v>
      </c>
      <c r="EQ49" s="13">
        <f t="shared" si="3"/>
        <v>-3000000</v>
      </c>
      <c r="ER49" s="13"/>
      <c r="ES49" s="8"/>
      <c r="ET49" s="13"/>
      <c r="EU49" s="13"/>
      <c r="EV49" s="13"/>
      <c r="EW49" s="13"/>
      <c r="EX49" s="13"/>
      <c r="EY49" s="8"/>
      <c r="FA49" s="63"/>
      <c r="FE49" s="196"/>
      <c r="FF49" s="196"/>
      <c r="FK49" s="201"/>
    </row>
    <row r="50" spans="1:167" ht="21" customHeight="1" outlineLevel="1" x14ac:dyDescent="0.55000000000000004">
      <c r="A50" s="28" t="s">
        <v>168</v>
      </c>
      <c r="B50" s="4" t="s">
        <v>249</v>
      </c>
      <c r="C50" s="1" t="s">
        <v>250</v>
      </c>
      <c r="D50" s="1" t="s">
        <v>108</v>
      </c>
      <c r="E50" s="78" t="s">
        <v>251</v>
      </c>
      <c r="F50" s="81" t="s">
        <v>252</v>
      </c>
      <c r="G50" s="31" t="s">
        <v>122</v>
      </c>
      <c r="I50" s="180"/>
      <c r="J50" s="180"/>
      <c r="K50" s="180"/>
      <c r="L50" s="180"/>
      <c r="M50" s="180"/>
      <c r="N50" s="192"/>
      <c r="O50" s="97"/>
      <c r="P50" s="107"/>
      <c r="Q50" s="107"/>
      <c r="R50" s="7"/>
      <c r="S50" s="7"/>
      <c r="T50" s="7"/>
      <c r="U50" s="7"/>
      <c r="V50" s="7"/>
      <c r="W50" s="2"/>
      <c r="X50" s="2"/>
      <c r="Y50" s="1"/>
      <c r="Z50" s="1"/>
      <c r="AA50" s="1"/>
      <c r="AB50" s="1"/>
      <c r="AC50" s="1"/>
      <c r="AD50" s="2"/>
      <c r="AE50" s="2"/>
      <c r="AF50" s="1"/>
      <c r="AG50" s="1"/>
      <c r="AH50" s="1"/>
      <c r="AI50" s="1"/>
      <c r="AJ50" s="1"/>
      <c r="AK50" s="2"/>
      <c r="AL50" s="2"/>
      <c r="AM50" s="1"/>
      <c r="AN50" s="1"/>
      <c r="AO50" s="1"/>
      <c r="AP50" s="1"/>
      <c r="AQ50" s="1"/>
      <c r="AR50" s="2"/>
      <c r="AS50" s="2"/>
      <c r="AT50" s="7"/>
      <c r="AU50" s="7"/>
      <c r="AV50" s="107"/>
      <c r="CB50" s="11">
        <v>0</v>
      </c>
      <c r="CC50" s="98"/>
      <c r="CD50" s="98"/>
      <c r="CE50" s="98"/>
      <c r="CF50" s="98"/>
      <c r="CG50" s="98"/>
      <c r="CH50" s="168"/>
      <c r="CI50" s="168"/>
      <c r="CJ50" s="98"/>
      <c r="CK50" s="98"/>
      <c r="CL50" s="98"/>
      <c r="CM50" s="98"/>
      <c r="CN50" s="98"/>
      <c r="CO50" s="168"/>
      <c r="CP50" s="168"/>
      <c r="CQ50" s="98"/>
      <c r="CR50" s="98"/>
      <c r="CS50" s="98"/>
      <c r="CT50" s="98"/>
      <c r="CU50" s="98"/>
      <c r="CV50" s="168"/>
      <c r="CW50" s="168"/>
      <c r="CX50" s="98"/>
      <c r="CY50" s="98"/>
      <c r="CZ50" s="98"/>
      <c r="DA50" s="98"/>
      <c r="DB50" s="98"/>
      <c r="DC50" s="168"/>
      <c r="DD50" s="168"/>
      <c r="DE50" s="98"/>
      <c r="DF50" s="98"/>
      <c r="DG50" s="98">
        <v>0</v>
      </c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7">
        <v>0</v>
      </c>
      <c r="EO50" s="8">
        <f t="shared" si="2"/>
        <v>0</v>
      </c>
      <c r="EP50" s="70">
        <v>900000</v>
      </c>
      <c r="EQ50" s="13">
        <f t="shared" si="3"/>
        <v>-900000</v>
      </c>
      <c r="ER50" s="13"/>
      <c r="ES50" s="8"/>
      <c r="ET50" s="13"/>
      <c r="EU50" s="13"/>
      <c r="EV50" s="30"/>
      <c r="EW50" s="13"/>
      <c r="EX50" s="13"/>
      <c r="EY50" s="8"/>
      <c r="FE50" s="196"/>
      <c r="FF50" s="196"/>
      <c r="FK50" s="201"/>
    </row>
    <row r="51" spans="1:167" ht="21" customHeight="1" outlineLevel="1" x14ac:dyDescent="0.55000000000000004">
      <c r="A51" s="28" t="s">
        <v>168</v>
      </c>
      <c r="B51" s="4" t="s">
        <v>253</v>
      </c>
      <c r="C51" s="1" t="s">
        <v>254</v>
      </c>
      <c r="D51" s="1" t="s">
        <v>108</v>
      </c>
      <c r="E51" s="1" t="s">
        <v>255</v>
      </c>
      <c r="F51" s="266" t="s">
        <v>252</v>
      </c>
      <c r="G51" s="43" t="s">
        <v>11</v>
      </c>
      <c r="I51" s="180"/>
      <c r="J51" s="180"/>
      <c r="K51" s="180"/>
      <c r="L51" s="180"/>
      <c r="M51" s="180"/>
      <c r="N51" s="192"/>
      <c r="O51" s="97"/>
      <c r="P51" s="107"/>
      <c r="Q51" s="107"/>
      <c r="R51" s="7"/>
      <c r="S51" s="7"/>
      <c r="T51" s="7"/>
      <c r="U51" s="7"/>
      <c r="V51" s="7"/>
      <c r="W51" s="2"/>
      <c r="X51" s="2"/>
      <c r="Y51" s="1"/>
      <c r="Z51" s="1"/>
      <c r="AA51" s="1"/>
      <c r="AB51" s="1"/>
      <c r="AC51" s="1"/>
      <c r="AD51" s="2"/>
      <c r="AE51" s="2"/>
      <c r="AF51" s="1"/>
      <c r="AG51" s="1"/>
      <c r="AH51" s="1"/>
      <c r="AI51" s="1"/>
      <c r="AJ51" s="1"/>
      <c r="AK51" s="2"/>
      <c r="AL51" s="2"/>
      <c r="AM51" s="1"/>
      <c r="AN51" s="1"/>
      <c r="AO51" s="1"/>
      <c r="AP51" s="1"/>
      <c r="AQ51" s="1"/>
      <c r="AR51" s="2"/>
      <c r="AS51" s="2"/>
      <c r="AT51" s="7"/>
      <c r="AU51" s="7"/>
      <c r="AV51" s="107"/>
      <c r="CB51" s="11">
        <v>0</v>
      </c>
      <c r="CC51" s="98"/>
      <c r="CD51" s="98"/>
      <c r="CE51" s="98"/>
      <c r="CF51" s="98"/>
      <c r="CG51" s="98"/>
      <c r="CH51" s="168"/>
      <c r="CI51" s="168"/>
      <c r="CJ51" s="98"/>
      <c r="CK51" s="98"/>
      <c r="CL51" s="98"/>
      <c r="CM51" s="98"/>
      <c r="CN51" s="98"/>
      <c r="CO51" s="168"/>
      <c r="CP51" s="168"/>
      <c r="CQ51" s="98"/>
      <c r="CR51" s="98"/>
      <c r="CS51" s="98"/>
      <c r="CT51" s="98"/>
      <c r="CU51" s="98"/>
      <c r="CV51" s="168"/>
      <c r="CW51" s="168"/>
      <c r="CX51" s="98"/>
      <c r="CY51" s="98"/>
      <c r="CZ51" s="98"/>
      <c r="DA51" s="98"/>
      <c r="DB51" s="98"/>
      <c r="DC51" s="168"/>
      <c r="DD51" s="168"/>
      <c r="DE51" s="98"/>
      <c r="DF51" s="98"/>
      <c r="DG51" s="98">
        <v>330000</v>
      </c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>
        <v>330000</v>
      </c>
      <c r="EO51" s="8">
        <f t="shared" ref="EO51" si="5">P51+Q51+AV51+CB51+DG51+EM51</f>
        <v>660000</v>
      </c>
      <c r="EP51" s="70"/>
      <c r="EQ51" s="13">
        <f t="shared" ref="EQ51" si="6">EO51-EP51</f>
        <v>660000</v>
      </c>
      <c r="ER51" s="13"/>
      <c r="ES51" s="8"/>
      <c r="ET51" s="13"/>
      <c r="EU51" s="13"/>
      <c r="EV51" s="30"/>
      <c r="EW51" s="13"/>
      <c r="EX51" s="13"/>
      <c r="EY51" s="8"/>
      <c r="FE51" s="196"/>
      <c r="FF51" s="196"/>
      <c r="FK51" s="201"/>
    </row>
    <row r="52" spans="1:167" ht="18" customHeight="1" x14ac:dyDescent="0.55000000000000004">
      <c r="A52" s="28" t="s">
        <v>168</v>
      </c>
      <c r="B52" s="180" t="s">
        <v>165</v>
      </c>
      <c r="C52" s="31"/>
      <c r="D52" s="31"/>
      <c r="E52" s="212"/>
      <c r="F52" s="81"/>
      <c r="G52" s="43"/>
      <c r="I52" s="180">
        <v>4598949</v>
      </c>
      <c r="J52" s="180">
        <v>16628199</v>
      </c>
      <c r="K52" s="180">
        <v>9867900.4995000008</v>
      </c>
      <c r="L52" s="180">
        <v>5676864.8300000001</v>
      </c>
      <c r="M52" s="180">
        <v>5751326.2949999999</v>
      </c>
      <c r="N52" s="189">
        <v>18236578.100000001</v>
      </c>
      <c r="O52" s="193">
        <f>SUM(I52:N52)</f>
        <v>60759817.7245</v>
      </c>
      <c r="P52" s="187"/>
      <c r="Q52" s="187"/>
      <c r="R52" s="108"/>
      <c r="S52" s="108"/>
      <c r="T52" s="108"/>
      <c r="U52" s="108"/>
      <c r="V52" s="108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08"/>
      <c r="AU52" s="108"/>
      <c r="AV52" s="187"/>
      <c r="AX52" s="43"/>
      <c r="AY52" s="43"/>
      <c r="AZ52" s="74"/>
      <c r="BA52" s="74"/>
      <c r="BB52" s="43"/>
      <c r="BC52" s="43"/>
      <c r="BD52" s="43"/>
      <c r="BE52" s="43"/>
      <c r="BF52" s="43"/>
      <c r="BG52" s="74"/>
      <c r="BH52" s="74"/>
      <c r="BI52" s="43"/>
      <c r="BJ52" s="43"/>
      <c r="BK52" s="43"/>
      <c r="BL52" s="43"/>
      <c r="BM52" s="43"/>
      <c r="BN52" s="74"/>
      <c r="BO52" s="74"/>
      <c r="BP52" s="43"/>
      <c r="BQ52" s="43"/>
      <c r="BR52" s="43"/>
      <c r="BS52" s="43"/>
      <c r="BT52" s="43"/>
      <c r="BU52" s="74"/>
      <c r="BV52" s="74"/>
      <c r="BW52" s="43"/>
      <c r="BX52" s="43"/>
      <c r="BY52" s="43"/>
      <c r="BZ52" s="43"/>
      <c r="CA52" s="43"/>
      <c r="CB52" s="96"/>
      <c r="CC52" s="91"/>
      <c r="CD52" s="91"/>
      <c r="CE52" s="91"/>
      <c r="CF52" s="91"/>
      <c r="CG52" s="91"/>
      <c r="CH52" s="92"/>
      <c r="CI52" s="92"/>
      <c r="CJ52" s="91"/>
      <c r="CK52" s="91"/>
      <c r="CL52" s="91"/>
      <c r="CM52" s="91"/>
      <c r="CN52" s="91"/>
      <c r="CO52" s="92"/>
      <c r="CP52" s="92"/>
      <c r="CQ52" s="91"/>
      <c r="CR52" s="91"/>
      <c r="CS52" s="91"/>
      <c r="CT52" s="91"/>
      <c r="CU52" s="91"/>
      <c r="CV52" s="92"/>
      <c r="CW52" s="92"/>
      <c r="CX52" s="91"/>
      <c r="CY52" s="91"/>
      <c r="CZ52" s="91"/>
      <c r="DA52" s="91"/>
      <c r="DB52" s="91"/>
      <c r="DC52" s="92"/>
      <c r="DD52" s="92"/>
      <c r="DE52" s="91"/>
      <c r="DF52" s="91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7"/>
      <c r="EP52" s="70"/>
      <c r="EQ52" s="13"/>
      <c r="ER52" s="13"/>
      <c r="ES52" s="8"/>
      <c r="ET52" s="13"/>
      <c r="EU52" s="13"/>
      <c r="EV52" s="30"/>
      <c r="EW52" s="13"/>
      <c r="EX52" s="13"/>
      <c r="EY52" s="8"/>
      <c r="FE52" s="196"/>
      <c r="FF52" s="196"/>
      <c r="FK52" s="201"/>
    </row>
    <row r="53" spans="1:167" ht="24.75" customHeight="1" thickBot="1" x14ac:dyDescent="0.6">
      <c r="A53" s="37" t="s">
        <v>168</v>
      </c>
      <c r="B53" s="36" t="s">
        <v>256</v>
      </c>
      <c r="C53" s="36" t="s">
        <v>257</v>
      </c>
      <c r="D53" s="36" t="s">
        <v>210</v>
      </c>
      <c r="E53" s="100" t="s">
        <v>258</v>
      </c>
      <c r="F53" s="101" t="s">
        <v>243</v>
      </c>
      <c r="G53" s="75" t="s">
        <v>122</v>
      </c>
      <c r="H53" s="213"/>
      <c r="I53" s="214"/>
      <c r="J53" s="214"/>
      <c r="K53" s="214"/>
      <c r="L53" s="214"/>
      <c r="M53" s="214"/>
      <c r="N53" s="215"/>
      <c r="O53" s="106"/>
      <c r="P53" s="104"/>
      <c r="Q53" s="104">
        <v>0</v>
      </c>
      <c r="R53" s="101"/>
      <c r="S53" s="101"/>
      <c r="T53" s="101"/>
      <c r="U53" s="101"/>
      <c r="V53" s="101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101"/>
      <c r="AU53" s="101"/>
      <c r="AV53" s="104">
        <v>0</v>
      </c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106"/>
      <c r="CC53" s="210"/>
      <c r="CD53" s="210"/>
      <c r="CE53" s="210"/>
      <c r="CF53" s="210"/>
      <c r="CG53" s="210"/>
      <c r="CH53" s="210"/>
      <c r="CI53" s="210"/>
      <c r="CJ53" s="210"/>
      <c r="CK53" s="210"/>
      <c r="CL53" s="210"/>
      <c r="CM53" s="210"/>
      <c r="CN53" s="210"/>
      <c r="CO53" s="210"/>
      <c r="CP53" s="210"/>
      <c r="CQ53" s="210"/>
      <c r="CR53" s="210"/>
      <c r="CS53" s="210"/>
      <c r="CT53" s="210"/>
      <c r="CU53" s="210"/>
      <c r="CV53" s="210"/>
      <c r="CW53" s="210"/>
      <c r="CX53" s="210"/>
      <c r="CY53" s="210"/>
      <c r="CZ53" s="210"/>
      <c r="DA53" s="210"/>
      <c r="DB53" s="210"/>
      <c r="DC53" s="210"/>
      <c r="DD53" s="210"/>
      <c r="DE53" s="210"/>
      <c r="DF53" s="210"/>
      <c r="DG53" s="106"/>
      <c r="DH53" s="210"/>
      <c r="DI53" s="210"/>
      <c r="DJ53" s="210"/>
      <c r="DK53" s="210"/>
      <c r="DL53" s="210"/>
      <c r="DM53" s="210"/>
      <c r="DN53" s="210"/>
      <c r="DO53" s="210"/>
      <c r="DP53" s="210"/>
      <c r="DQ53" s="210"/>
      <c r="DR53" s="210"/>
      <c r="DS53" s="210"/>
      <c r="DT53" s="210"/>
      <c r="DU53" s="210"/>
      <c r="DV53" s="210"/>
      <c r="DW53" s="210"/>
      <c r="DX53" s="210"/>
      <c r="DY53" s="210"/>
      <c r="DZ53" s="210"/>
      <c r="EA53" s="210"/>
      <c r="EB53" s="210"/>
      <c r="EC53" s="210"/>
      <c r="ED53" s="210"/>
      <c r="EE53" s="210"/>
      <c r="EF53" s="210"/>
      <c r="EG53" s="210"/>
      <c r="EH53" s="210"/>
      <c r="EI53" s="210"/>
      <c r="EJ53" s="210"/>
      <c r="EK53" s="210"/>
      <c r="EL53" s="210"/>
      <c r="EM53" s="106"/>
      <c r="EO53" s="44">
        <f t="shared" ref="EO53:EO76" si="7">P53+Q53+AV53+CB53+DG53+EM53</f>
        <v>0</v>
      </c>
      <c r="EP53" s="71">
        <v>0</v>
      </c>
      <c r="EQ53" s="110">
        <f t="shared" ref="EQ53:EQ76" si="8">EO53-EP53</f>
        <v>0</v>
      </c>
      <c r="ER53" s="110"/>
      <c r="ES53" s="109"/>
      <c r="ET53" s="110"/>
      <c r="EU53" s="13"/>
      <c r="EV53" s="13"/>
      <c r="EW53" s="13"/>
      <c r="EX53" s="13"/>
      <c r="EY53" s="8" t="s">
        <v>259</v>
      </c>
      <c r="FE53" s="9" t="s">
        <v>59</v>
      </c>
      <c r="FF53" s="196"/>
      <c r="FG53" s="220"/>
      <c r="FK53" s="201"/>
    </row>
    <row r="54" spans="1:167" ht="21" customHeight="1" x14ac:dyDescent="0.55000000000000004">
      <c r="A54" s="33" t="s">
        <v>260</v>
      </c>
      <c r="B54" s="1" t="s">
        <v>261</v>
      </c>
      <c r="C54" s="1" t="s">
        <v>262</v>
      </c>
      <c r="D54" s="1" t="s">
        <v>89</v>
      </c>
      <c r="E54" s="77" t="s">
        <v>263</v>
      </c>
      <c r="F54" s="80" t="s">
        <v>264</v>
      </c>
      <c r="G54" s="74" t="s">
        <v>9</v>
      </c>
      <c r="I54" s="180"/>
      <c r="J54" s="180"/>
      <c r="K54" s="180"/>
      <c r="L54" s="180"/>
      <c r="M54" s="180"/>
      <c r="N54" s="189"/>
      <c r="P54" s="82">
        <v>0</v>
      </c>
      <c r="Q54" s="82">
        <v>46500</v>
      </c>
      <c r="R54" s="80"/>
      <c r="S54" s="80"/>
      <c r="T54" s="80"/>
      <c r="U54" s="80"/>
      <c r="V54" s="80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80"/>
      <c r="AU54" s="80"/>
      <c r="AV54" s="82">
        <v>46500</v>
      </c>
      <c r="CB54" s="83">
        <v>0</v>
      </c>
      <c r="CC54" s="7"/>
      <c r="CD54" s="7"/>
      <c r="CE54" s="7"/>
      <c r="CF54" s="7"/>
      <c r="CG54" s="7"/>
      <c r="CH54" s="84"/>
      <c r="CI54" s="84"/>
      <c r="CJ54" s="7"/>
      <c r="CK54" s="7"/>
      <c r="CL54" s="7"/>
      <c r="CM54" s="7"/>
      <c r="CN54" s="7"/>
      <c r="CO54" s="84"/>
      <c r="CP54" s="84"/>
      <c r="CQ54" s="7"/>
      <c r="CR54" s="7"/>
      <c r="CS54" s="7"/>
      <c r="CT54" s="7"/>
      <c r="CU54" s="7"/>
      <c r="CV54" s="84"/>
      <c r="CW54" s="84"/>
      <c r="CX54" s="7"/>
      <c r="CY54" s="7"/>
      <c r="CZ54" s="7"/>
      <c r="DA54" s="7"/>
      <c r="DB54" s="7"/>
      <c r="DC54" s="84"/>
      <c r="DD54" s="84"/>
      <c r="DE54" s="7"/>
      <c r="DF54" s="7"/>
      <c r="DG54" s="83">
        <v>0</v>
      </c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83">
        <v>0</v>
      </c>
      <c r="EO54" s="42">
        <f t="shared" si="7"/>
        <v>93000</v>
      </c>
      <c r="EP54" s="70">
        <v>93000</v>
      </c>
      <c r="EQ54" s="13">
        <f t="shared" si="8"/>
        <v>0</v>
      </c>
      <c r="ER54" s="13"/>
      <c r="ES54" s="8"/>
      <c r="ET54" s="13"/>
      <c r="EU54" s="13"/>
      <c r="EV54" s="227" t="s">
        <v>260</v>
      </c>
      <c r="EW54" s="226" t="s">
        <v>95</v>
      </c>
      <c r="EX54" s="13"/>
      <c r="EY54" s="9" t="s">
        <v>80</v>
      </c>
      <c r="EZ54" s="9" t="s">
        <v>265</v>
      </c>
      <c r="FE54" s="9" t="s">
        <v>266</v>
      </c>
      <c r="FF54" s="196"/>
      <c r="FH54" s="4" t="s">
        <v>83</v>
      </c>
      <c r="FK54" s="201"/>
    </row>
    <row r="55" spans="1:167" ht="21" customHeight="1" x14ac:dyDescent="0.55000000000000004">
      <c r="A55" s="33" t="s">
        <v>260</v>
      </c>
      <c r="B55" s="1" t="s">
        <v>261</v>
      </c>
      <c r="C55" s="1" t="s">
        <v>267</v>
      </c>
      <c r="D55" s="1" t="s">
        <v>268</v>
      </c>
      <c r="E55" s="77" t="s">
        <v>269</v>
      </c>
      <c r="F55" s="80" t="s">
        <v>270</v>
      </c>
      <c r="G55" s="74" t="s">
        <v>9</v>
      </c>
      <c r="I55" s="180"/>
      <c r="J55" s="180"/>
      <c r="K55" s="180"/>
      <c r="L55" s="180"/>
      <c r="M55" s="180"/>
      <c r="N55" s="189"/>
      <c r="O55" s="87"/>
      <c r="P55" s="82">
        <v>2851569.1</v>
      </c>
      <c r="Q55" s="82">
        <v>2050000</v>
      </c>
      <c r="R55" s="80"/>
      <c r="S55" s="80"/>
      <c r="T55" s="80"/>
      <c r="U55" s="80"/>
      <c r="V55" s="80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80"/>
      <c r="AU55" s="80"/>
      <c r="AV55" s="82">
        <f>3500000*0.2+2500000*0.3+1500000*0.4</f>
        <v>2050000</v>
      </c>
      <c r="CB55" s="89">
        <f>3500000*0.25+1500000*0.55+2500000*0.45</f>
        <v>2825000</v>
      </c>
      <c r="CC55" s="97"/>
      <c r="CD55" s="97"/>
      <c r="CE55" s="97"/>
      <c r="CF55" s="97"/>
      <c r="CG55" s="97"/>
      <c r="CH55" s="96"/>
      <c r="CI55" s="96"/>
      <c r="CJ55" s="97"/>
      <c r="CK55" s="97"/>
      <c r="CL55" s="97"/>
      <c r="CM55" s="97"/>
      <c r="CN55" s="97"/>
      <c r="CO55" s="96"/>
      <c r="CP55" s="96"/>
      <c r="CQ55" s="97"/>
      <c r="CR55" s="97"/>
      <c r="CS55" s="97"/>
      <c r="CT55" s="97"/>
      <c r="CU55" s="97"/>
      <c r="CV55" s="96"/>
      <c r="CW55" s="96"/>
      <c r="CX55" s="97"/>
      <c r="CY55" s="97"/>
      <c r="CZ55" s="97"/>
      <c r="DA55" s="97"/>
      <c r="DB55" s="97"/>
      <c r="DC55" s="96"/>
      <c r="DD55" s="96"/>
      <c r="DE55" s="97"/>
      <c r="DF55" s="97"/>
      <c r="DG55" s="89">
        <f>3500000*0.25+1500000*0.55+2500000*0.45</f>
        <v>2825000</v>
      </c>
      <c r="DH55" s="97"/>
      <c r="DI55" s="97"/>
      <c r="DJ55" s="97"/>
      <c r="DK55" s="97"/>
      <c r="DL55" s="97"/>
      <c r="DM55" s="97"/>
      <c r="DN55" s="97"/>
      <c r="DO55" s="97"/>
      <c r="DP55" s="97"/>
      <c r="DQ55" s="97"/>
      <c r="DR55" s="97"/>
      <c r="DS55" s="97"/>
      <c r="DT55" s="97"/>
      <c r="DU55" s="97"/>
      <c r="DV55" s="97"/>
      <c r="DW55" s="97"/>
      <c r="DX55" s="97"/>
      <c r="DY55" s="97"/>
      <c r="DZ55" s="97"/>
      <c r="EA55" s="97"/>
      <c r="EB55" s="97"/>
      <c r="EC55" s="97"/>
      <c r="ED55" s="97"/>
      <c r="EE55" s="97"/>
      <c r="EF55" s="97"/>
      <c r="EG55" s="97"/>
      <c r="EH55" s="97"/>
      <c r="EI55" s="97"/>
      <c r="EJ55" s="97"/>
      <c r="EK55" s="97"/>
      <c r="EL55" s="97"/>
      <c r="EM55" s="89">
        <f>3500000*0.25+1500000*0.55+2500000*0.45</f>
        <v>2825000</v>
      </c>
      <c r="EO55" s="42">
        <f t="shared" si="7"/>
        <v>15426569.1</v>
      </c>
      <c r="EP55" s="70">
        <v>13101569.1</v>
      </c>
      <c r="EQ55" s="13">
        <f t="shared" si="8"/>
        <v>2325000</v>
      </c>
      <c r="ER55" s="13"/>
      <c r="ES55" s="8"/>
      <c r="ET55" s="13"/>
      <c r="EU55" s="13"/>
      <c r="EV55" s="13">
        <f>SUM(EO54:EO78)</f>
        <v>63850672.82</v>
      </c>
      <c r="EW55" s="13">
        <f>SUM(EP54:EP79)</f>
        <v>67750672.819999993</v>
      </c>
      <c r="EX55" s="13"/>
      <c r="EY55" s="35">
        <f>EV55/EW55</f>
        <v>0.94243599601790651</v>
      </c>
      <c r="EZ55" s="18" t="s">
        <v>176</v>
      </c>
      <c r="FA55" s="18" t="s">
        <v>177</v>
      </c>
      <c r="FB55" s="18" t="s">
        <v>93</v>
      </c>
      <c r="FE55" s="9" t="s">
        <v>94</v>
      </c>
      <c r="FF55" s="35">
        <f ca="1">FH61/FI61</f>
        <v>0.96081285992891241</v>
      </c>
      <c r="FG55" s="67" t="s">
        <v>176</v>
      </c>
      <c r="FH55" s="67" t="s">
        <v>177</v>
      </c>
      <c r="FI55" s="67" t="s">
        <v>271</v>
      </c>
      <c r="FJ55" s="67" t="s">
        <v>96</v>
      </c>
      <c r="FK55" s="201"/>
    </row>
    <row r="56" spans="1:167" ht="21" customHeight="1" x14ac:dyDescent="0.55000000000000004">
      <c r="A56" s="33" t="s">
        <v>260</v>
      </c>
      <c r="B56" s="1" t="s">
        <v>272</v>
      </c>
      <c r="C56" s="2" t="s">
        <v>273</v>
      </c>
      <c r="D56" s="1" t="s">
        <v>108</v>
      </c>
      <c r="E56" s="77" t="s">
        <v>274</v>
      </c>
      <c r="F56" s="92" t="s">
        <v>275</v>
      </c>
      <c r="G56" s="2" t="s">
        <v>122</v>
      </c>
      <c r="I56" s="4"/>
      <c r="J56" s="4"/>
      <c r="K56" s="4"/>
      <c r="L56" s="4"/>
      <c r="M56" s="4"/>
      <c r="N56" s="189"/>
      <c r="O56" s="97"/>
      <c r="P56" s="82">
        <v>0</v>
      </c>
      <c r="Q56" s="82">
        <v>0</v>
      </c>
      <c r="R56" s="91"/>
      <c r="S56" s="91"/>
      <c r="T56" s="91"/>
      <c r="U56" s="91"/>
      <c r="V56" s="91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91"/>
      <c r="AU56" s="91"/>
      <c r="AV56" s="82">
        <v>0</v>
      </c>
      <c r="CB56" s="83">
        <v>0</v>
      </c>
      <c r="DG56" s="96">
        <v>0</v>
      </c>
      <c r="EM56" s="96">
        <v>0</v>
      </c>
      <c r="EO56" s="42">
        <f t="shared" si="7"/>
        <v>0</v>
      </c>
      <c r="EP56" s="70">
        <v>0</v>
      </c>
      <c r="EQ56" s="13">
        <f t="shared" si="8"/>
        <v>0</v>
      </c>
      <c r="ER56" s="13"/>
      <c r="ES56" s="8"/>
      <c r="ET56" s="13"/>
      <c r="EU56" s="13"/>
      <c r="EV56" s="13"/>
      <c r="EW56" s="13">
        <f>EV55-EW55</f>
        <v>-3899999.9999999925</v>
      </c>
      <c r="EX56" s="13"/>
      <c r="EY56" s="8"/>
      <c r="EZ56" s="19" t="s">
        <v>179</v>
      </c>
      <c r="FA56" s="68">
        <f>SUMIF($G$54:$G$78,EZ56,$EO$54:$EO$78)</f>
        <v>51850672.82</v>
      </c>
      <c r="FB56" s="111"/>
      <c r="FE56" s="9" t="s">
        <v>65</v>
      </c>
      <c r="FF56" s="35">
        <f ca="1">FH65/FJ65</f>
        <v>0.98382248721065013</v>
      </c>
      <c r="FG56" s="19" t="s">
        <v>179</v>
      </c>
      <c r="FH56" s="68">
        <f>SUMIF($G$54:$G$78,FG56,$EO$54:$EO$78)+O77</f>
        <v>83622437.321065009</v>
      </c>
      <c r="FI56" s="111"/>
      <c r="FJ56" s="111"/>
      <c r="FK56" s="201"/>
    </row>
    <row r="57" spans="1:167" ht="21" customHeight="1" x14ac:dyDescent="0.55000000000000004">
      <c r="A57" s="33" t="s">
        <v>260</v>
      </c>
      <c r="B57" s="1" t="s">
        <v>272</v>
      </c>
      <c r="C57" s="2" t="s">
        <v>276</v>
      </c>
      <c r="D57" s="1" t="s">
        <v>108</v>
      </c>
      <c r="E57" s="77" t="s">
        <v>277</v>
      </c>
      <c r="F57" s="92" t="s">
        <v>275</v>
      </c>
      <c r="G57" s="2" t="s">
        <v>122</v>
      </c>
      <c r="I57" s="4"/>
      <c r="J57" s="4"/>
      <c r="K57" s="4"/>
      <c r="L57" s="4"/>
      <c r="M57" s="4"/>
      <c r="N57" s="189"/>
      <c r="O57" s="97"/>
      <c r="P57" s="82"/>
      <c r="Q57" s="82"/>
      <c r="R57" s="91"/>
      <c r="S57" s="91"/>
      <c r="T57" s="91"/>
      <c r="U57" s="91"/>
      <c r="V57" s="91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91"/>
      <c r="AU57" s="91"/>
      <c r="AV57" s="82">
        <v>0</v>
      </c>
      <c r="CB57" s="83">
        <v>0</v>
      </c>
      <c r="DG57" s="96">
        <v>0</v>
      </c>
      <c r="EM57" s="96">
        <v>0</v>
      </c>
      <c r="EO57" s="42">
        <f t="shared" si="7"/>
        <v>0</v>
      </c>
      <c r="EP57" s="70">
        <v>0</v>
      </c>
      <c r="EQ57" s="13">
        <f t="shared" si="8"/>
        <v>0</v>
      </c>
      <c r="ER57" s="13"/>
      <c r="ES57" s="8"/>
      <c r="ET57" s="13"/>
      <c r="EU57" s="13"/>
      <c r="EV57" s="13"/>
      <c r="EW57" s="13"/>
      <c r="EX57" s="13"/>
      <c r="EY57" s="8"/>
      <c r="EZ57" s="19" t="s">
        <v>181</v>
      </c>
      <c r="FA57" s="68">
        <f>SUMIF($G$54:$G$76,EZ57,$EO$54:$EO$76)</f>
        <v>0</v>
      </c>
      <c r="FB57" s="111"/>
      <c r="FE57" s="196"/>
      <c r="FF57" s="196"/>
      <c r="FG57" s="19" t="s">
        <v>181</v>
      </c>
      <c r="FH57" s="68">
        <f>SUMIF($G$54:$G$76,FG57,$EO$54:$EO$76)</f>
        <v>0</v>
      </c>
      <c r="FI57" s="111"/>
      <c r="FJ57" s="111"/>
      <c r="FK57" s="201"/>
    </row>
    <row r="58" spans="1:167" ht="21" customHeight="1" x14ac:dyDescent="0.55000000000000004">
      <c r="A58" s="33" t="s">
        <v>260</v>
      </c>
      <c r="B58" s="4" t="s">
        <v>278</v>
      </c>
      <c r="C58" s="2" t="s">
        <v>279</v>
      </c>
      <c r="D58" s="1" t="s">
        <v>108</v>
      </c>
      <c r="E58" s="77" t="s">
        <v>280</v>
      </c>
      <c r="F58" s="92" t="s">
        <v>281</v>
      </c>
      <c r="G58" s="2" t="s">
        <v>122</v>
      </c>
      <c r="I58" s="4"/>
      <c r="J58" s="4"/>
      <c r="K58" s="4"/>
      <c r="L58" s="4"/>
      <c r="M58" s="4"/>
      <c r="N58" s="189"/>
      <c r="O58" s="97"/>
      <c r="P58" s="82">
        <v>0</v>
      </c>
      <c r="Q58" s="82">
        <v>0</v>
      </c>
      <c r="R58" s="80"/>
      <c r="S58" s="80"/>
      <c r="T58" s="80"/>
      <c r="U58" s="80"/>
      <c r="V58" s="80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80"/>
      <c r="AU58" s="80"/>
      <c r="AV58" s="82">
        <v>0</v>
      </c>
      <c r="CB58" s="83">
        <v>0</v>
      </c>
      <c r="DG58" s="96">
        <v>0</v>
      </c>
      <c r="EM58" s="96">
        <v>0</v>
      </c>
      <c r="EO58" s="42">
        <f t="shared" si="7"/>
        <v>0</v>
      </c>
      <c r="EP58" s="70">
        <v>0</v>
      </c>
      <c r="EQ58" s="13">
        <f t="shared" si="8"/>
        <v>0</v>
      </c>
      <c r="ER58" s="13"/>
      <c r="ES58" s="8"/>
      <c r="ET58" s="13"/>
      <c r="EU58" s="13"/>
      <c r="EV58" s="13"/>
      <c r="EW58" s="13"/>
      <c r="EX58" s="13"/>
      <c r="EY58" s="8"/>
      <c r="EZ58" s="19" t="s">
        <v>27</v>
      </c>
      <c r="FA58" s="68">
        <f>SUMIF($G$54:$G$76,EZ58,$EO$54:$EO$76)</f>
        <v>9300000</v>
      </c>
      <c r="FB58" s="111"/>
      <c r="FE58" s="196"/>
      <c r="FF58" s="196"/>
      <c r="FG58" s="19" t="s">
        <v>27</v>
      </c>
      <c r="FH58" s="68">
        <f>SUMIF($G$54:$G$76,FG58,$EO$54:$EO$76)</f>
        <v>9300000</v>
      </c>
      <c r="FI58" s="111"/>
      <c r="FJ58" s="111"/>
      <c r="FK58" s="201"/>
    </row>
    <row r="59" spans="1:167" ht="21" customHeight="1" x14ac:dyDescent="0.55000000000000004">
      <c r="A59" s="33" t="s">
        <v>260</v>
      </c>
      <c r="B59" s="1" t="s">
        <v>282</v>
      </c>
      <c r="C59" s="182" t="s">
        <v>283</v>
      </c>
      <c r="D59" s="1" t="s">
        <v>108</v>
      </c>
      <c r="E59" s="77" t="s">
        <v>284</v>
      </c>
      <c r="F59" s="80" t="s">
        <v>285</v>
      </c>
      <c r="G59" s="2" t="s">
        <v>122</v>
      </c>
      <c r="I59" s="4"/>
      <c r="J59" s="4"/>
      <c r="K59" s="4"/>
      <c r="L59" s="4"/>
      <c r="M59" s="4"/>
      <c r="N59" s="189"/>
      <c r="O59" s="97"/>
      <c r="P59" s="82">
        <v>0</v>
      </c>
      <c r="Q59" s="82">
        <v>0</v>
      </c>
      <c r="R59" s="81"/>
      <c r="S59" s="81"/>
      <c r="T59" s="81"/>
      <c r="U59" s="81"/>
      <c r="V59" s="81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81"/>
      <c r="AU59" s="81"/>
      <c r="AV59" s="82">
        <v>0</v>
      </c>
      <c r="CB59" s="83">
        <v>0</v>
      </c>
      <c r="CC59" s="108"/>
      <c r="CD59" s="108"/>
      <c r="CE59" s="108"/>
      <c r="CF59" s="108"/>
      <c r="CG59" s="108"/>
      <c r="CH59" s="84"/>
      <c r="CI59" s="84"/>
      <c r="CJ59" s="108"/>
      <c r="CK59" s="108"/>
      <c r="CL59" s="108"/>
      <c r="CM59" s="108"/>
      <c r="CN59" s="108"/>
      <c r="CO59" s="84"/>
      <c r="CP59" s="84"/>
      <c r="CQ59" s="108"/>
      <c r="CR59" s="108"/>
      <c r="CS59" s="108"/>
      <c r="CT59" s="108"/>
      <c r="CU59" s="108"/>
      <c r="CV59" s="84"/>
      <c r="CW59" s="84"/>
      <c r="CX59" s="108"/>
      <c r="CY59" s="108"/>
      <c r="CZ59" s="108"/>
      <c r="DA59" s="108"/>
      <c r="DB59" s="108"/>
      <c r="DC59" s="84"/>
      <c r="DD59" s="84"/>
      <c r="DE59" s="108"/>
      <c r="DF59" s="108"/>
      <c r="DG59" s="96">
        <v>0</v>
      </c>
      <c r="DH59" s="108"/>
      <c r="DI59" s="108"/>
      <c r="DJ59" s="108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/>
      <c r="EB59" s="108"/>
      <c r="EC59" s="108"/>
      <c r="ED59" s="108"/>
      <c r="EE59" s="108"/>
      <c r="EF59" s="108"/>
      <c r="EG59" s="108"/>
      <c r="EH59" s="108"/>
      <c r="EI59" s="108"/>
      <c r="EJ59" s="108"/>
      <c r="EK59" s="108"/>
      <c r="EL59" s="108"/>
      <c r="EM59" s="96">
        <v>0</v>
      </c>
      <c r="EO59" s="42">
        <f t="shared" si="7"/>
        <v>0</v>
      </c>
      <c r="EP59" s="70">
        <v>0</v>
      </c>
      <c r="EQ59" s="13">
        <f t="shared" si="8"/>
        <v>0</v>
      </c>
      <c r="ER59" s="13"/>
      <c r="ES59" s="8"/>
      <c r="ET59" s="13"/>
      <c r="EU59" s="13"/>
      <c r="EV59" s="13"/>
      <c r="EW59" s="13"/>
      <c r="EX59" s="13"/>
      <c r="EY59" s="8"/>
      <c r="EZ59" s="19" t="s">
        <v>186</v>
      </c>
      <c r="FA59" s="68">
        <f ca="1">SUMIF($G$54:$N$78,EZ59,$EO$54:$EO$76)</f>
        <v>2700000</v>
      </c>
      <c r="FB59" s="111"/>
      <c r="FE59" s="196"/>
      <c r="FF59" s="196"/>
      <c r="FG59" s="19" t="s">
        <v>186</v>
      </c>
      <c r="FH59" s="68">
        <f ca="1">SUMIF($G$54:$N$78,FG59,$EO$54:$EO$76)</f>
        <v>2700000</v>
      </c>
      <c r="FI59" s="111"/>
      <c r="FJ59" s="111"/>
      <c r="FK59" s="201"/>
    </row>
    <row r="60" spans="1:167" ht="21" customHeight="1" x14ac:dyDescent="0.55000000000000004">
      <c r="A60" s="33" t="s">
        <v>260</v>
      </c>
      <c r="B60" s="1" t="s">
        <v>286</v>
      </c>
      <c r="C60" s="1" t="s">
        <v>287</v>
      </c>
      <c r="D60" s="1" t="s">
        <v>89</v>
      </c>
      <c r="E60" s="78" t="s">
        <v>288</v>
      </c>
      <c r="F60" s="183" t="s">
        <v>285</v>
      </c>
      <c r="G60" s="2" t="s">
        <v>179</v>
      </c>
      <c r="I60" s="4"/>
      <c r="J60" s="4"/>
      <c r="K60" s="4"/>
      <c r="L60" s="4"/>
      <c r="M60" s="4"/>
      <c r="N60" s="189"/>
      <c r="O60" s="97"/>
      <c r="P60" s="82">
        <v>0</v>
      </c>
      <c r="Q60" s="82"/>
      <c r="R60" s="80"/>
      <c r="S60" s="80"/>
      <c r="T60" s="80"/>
      <c r="U60" s="80"/>
      <c r="V60" s="80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80"/>
      <c r="AU60" s="80"/>
      <c r="AV60" s="82">
        <v>0</v>
      </c>
      <c r="CB60" s="83">
        <v>0</v>
      </c>
      <c r="CC60" s="86"/>
      <c r="CD60" s="86"/>
      <c r="CE60" s="86"/>
      <c r="CF60" s="86"/>
      <c r="CG60" s="86"/>
      <c r="CH60" s="211"/>
      <c r="CI60" s="211"/>
      <c r="CJ60" s="86"/>
      <c r="CK60" s="86"/>
      <c r="CL60" s="86"/>
      <c r="CM60" s="86"/>
      <c r="CN60" s="86"/>
      <c r="CO60" s="211"/>
      <c r="CP60" s="211"/>
      <c r="CQ60" s="86"/>
      <c r="CR60" s="86"/>
      <c r="CS60" s="86"/>
      <c r="CT60" s="86"/>
      <c r="CU60" s="86"/>
      <c r="CV60" s="211"/>
      <c r="CW60" s="211"/>
      <c r="CX60" s="86"/>
      <c r="CY60" s="86"/>
      <c r="CZ60" s="86"/>
      <c r="DA60" s="86"/>
      <c r="DB60" s="86"/>
      <c r="DC60" s="211"/>
      <c r="DD60" s="211"/>
      <c r="DE60" s="86"/>
      <c r="DF60" s="86"/>
      <c r="DG60" s="97">
        <f>3700000/2</f>
        <v>1850000</v>
      </c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97">
        <f>3700000/2</f>
        <v>1850000</v>
      </c>
      <c r="EO60" s="42">
        <f t="shared" si="7"/>
        <v>3700000</v>
      </c>
      <c r="EP60" s="70">
        <v>0</v>
      </c>
      <c r="EQ60" s="13">
        <f t="shared" si="8"/>
        <v>3700000</v>
      </c>
      <c r="ER60" s="13"/>
      <c r="ES60" s="8"/>
      <c r="ET60" s="13"/>
      <c r="EU60" s="13"/>
      <c r="EV60" s="13"/>
      <c r="EW60" s="13"/>
      <c r="EX60" s="13"/>
      <c r="EY60" s="8"/>
      <c r="EZ60" s="19" t="s">
        <v>191</v>
      </c>
      <c r="FA60" s="68">
        <f>SUMIF($G$54:$G$74,EZ60,$EO$54:$EO$74)</f>
        <v>0</v>
      </c>
      <c r="FB60" s="111"/>
      <c r="FE60" s="196"/>
      <c r="FF60" s="196"/>
      <c r="FG60" s="19" t="s">
        <v>191</v>
      </c>
      <c r="FH60" s="68">
        <f>SUMIF($G$54:$G$74,FG60,$EO$54:$EO$74)</f>
        <v>0</v>
      </c>
      <c r="FI60" s="111"/>
      <c r="FJ60" s="111"/>
      <c r="FK60" s="201"/>
    </row>
    <row r="61" spans="1:167" ht="21" customHeight="1" x14ac:dyDescent="0.55000000000000004">
      <c r="A61" s="33" t="s">
        <v>260</v>
      </c>
      <c r="B61" s="180" t="s">
        <v>289</v>
      </c>
      <c r="C61" s="1" t="s">
        <v>290</v>
      </c>
      <c r="D61" s="1" t="s">
        <v>108</v>
      </c>
      <c r="E61" s="77" t="s">
        <v>291</v>
      </c>
      <c r="F61" s="80" t="s">
        <v>292</v>
      </c>
      <c r="G61" s="74" t="s">
        <v>9</v>
      </c>
      <c r="I61" s="180"/>
      <c r="J61" s="180"/>
      <c r="K61" s="180"/>
      <c r="L61" s="180"/>
      <c r="M61" s="180"/>
      <c r="N61" s="189"/>
      <c r="P61" s="82">
        <v>18901.719999998808</v>
      </c>
      <c r="Q61" s="82">
        <v>2000000</v>
      </c>
      <c r="R61" s="80"/>
      <c r="S61" s="80"/>
      <c r="T61" s="80"/>
      <c r="U61" s="80"/>
      <c r="V61" s="80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80"/>
      <c r="AU61" s="80"/>
      <c r="AV61" s="82">
        <v>2000000</v>
      </c>
      <c r="CB61" s="83">
        <v>2500000</v>
      </c>
      <c r="CC61" s="11"/>
      <c r="CD61" s="11"/>
      <c r="CE61" s="11"/>
      <c r="CF61" s="11"/>
      <c r="CG61" s="11"/>
      <c r="CH61" s="83"/>
      <c r="CI61" s="83"/>
      <c r="CJ61" s="11"/>
      <c r="CK61" s="11"/>
      <c r="CL61" s="11"/>
      <c r="CM61" s="11"/>
      <c r="CN61" s="11"/>
      <c r="CO61" s="83"/>
      <c r="CP61" s="83"/>
      <c r="CQ61" s="11"/>
      <c r="CR61" s="11"/>
      <c r="CS61" s="11"/>
      <c r="CT61" s="11"/>
      <c r="CU61" s="11"/>
      <c r="CV61" s="83"/>
      <c r="CW61" s="83"/>
      <c r="CX61" s="11"/>
      <c r="CY61" s="11"/>
      <c r="CZ61" s="11"/>
      <c r="DA61" s="11"/>
      <c r="DB61" s="11"/>
      <c r="DC61" s="83"/>
      <c r="DD61" s="83"/>
      <c r="DE61" s="11"/>
      <c r="DF61" s="11"/>
      <c r="DG61" s="83">
        <v>2500000</v>
      </c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83">
        <v>2500000</v>
      </c>
      <c r="EO61" s="42">
        <f t="shared" si="7"/>
        <v>11518901.719999999</v>
      </c>
      <c r="EP61" s="70">
        <v>11518901.719999999</v>
      </c>
      <c r="EQ61" s="13">
        <f t="shared" si="8"/>
        <v>0</v>
      </c>
      <c r="ER61" s="13"/>
      <c r="ES61" s="13" t="s">
        <v>293</v>
      </c>
      <c r="ET61" s="13"/>
      <c r="EU61" s="13"/>
      <c r="EV61" s="1"/>
      <c r="EW61" s="13"/>
      <c r="EX61" s="13"/>
      <c r="EY61" s="8"/>
      <c r="EZ61" s="23" t="s">
        <v>195</v>
      </c>
      <c r="FA61" s="24">
        <f ca="1">SUM(FA56:FA60)</f>
        <v>63850672.82</v>
      </c>
      <c r="FB61" s="24">
        <v>118675000</v>
      </c>
      <c r="FE61" s="196"/>
      <c r="FF61" s="196"/>
      <c r="FG61" s="219" t="s">
        <v>127</v>
      </c>
      <c r="FH61" s="24">
        <f ca="1">SUM(FH56:FH60)</f>
        <v>95622437.321065009</v>
      </c>
      <c r="FI61" s="24">
        <v>99522437</v>
      </c>
      <c r="FJ61" s="111"/>
      <c r="FK61" s="201"/>
    </row>
    <row r="62" spans="1:167" ht="21" x14ac:dyDescent="0.55000000000000004">
      <c r="A62" s="33" t="s">
        <v>294</v>
      </c>
      <c r="B62" s="4" t="s">
        <v>295</v>
      </c>
      <c r="C62" s="1" t="s">
        <v>296</v>
      </c>
      <c r="D62" s="1" t="s">
        <v>108</v>
      </c>
      <c r="E62" s="77" t="s">
        <v>90</v>
      </c>
      <c r="F62" s="92" t="s">
        <v>297</v>
      </c>
      <c r="G62" s="74" t="s">
        <v>175</v>
      </c>
      <c r="I62" s="180"/>
      <c r="J62" s="180"/>
      <c r="K62" s="180"/>
      <c r="L62" s="180"/>
      <c r="M62" s="180"/>
      <c r="N62" s="189"/>
      <c r="P62" s="82">
        <v>0</v>
      </c>
      <c r="Q62" s="82">
        <v>0</v>
      </c>
      <c r="R62" s="92"/>
      <c r="S62" s="92"/>
      <c r="T62" s="92"/>
      <c r="U62" s="92"/>
      <c r="V62" s="92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92"/>
      <c r="AU62" s="92"/>
      <c r="AV62" s="82">
        <v>2764000</v>
      </c>
      <c r="CB62" s="83"/>
      <c r="DG62" s="83">
        <v>0</v>
      </c>
      <c r="EM62" s="83">
        <v>0</v>
      </c>
      <c r="EO62" s="42">
        <f t="shared" si="7"/>
        <v>2764000</v>
      </c>
      <c r="EP62" s="70">
        <v>2764000</v>
      </c>
      <c r="EQ62" s="13">
        <f t="shared" si="8"/>
        <v>0</v>
      </c>
      <c r="ER62" s="13"/>
      <c r="ES62" s="8"/>
      <c r="ET62" s="13"/>
      <c r="EU62" s="13"/>
      <c r="EV62" s="13"/>
      <c r="EW62" s="13"/>
      <c r="EX62" s="13"/>
      <c r="EY62" s="8"/>
      <c r="FA62" s="63"/>
      <c r="FE62" s="196"/>
      <c r="FF62" s="196"/>
      <c r="FJ62" s="201"/>
      <c r="FK62" s="201"/>
    </row>
    <row r="63" spans="1:167" ht="21" x14ac:dyDescent="0.55000000000000004">
      <c r="A63" s="33" t="s">
        <v>294</v>
      </c>
      <c r="B63" s="1" t="s">
        <v>295</v>
      </c>
      <c r="C63" s="1" t="s">
        <v>298</v>
      </c>
      <c r="D63" s="1" t="s">
        <v>108</v>
      </c>
      <c r="E63" s="77" t="s">
        <v>299</v>
      </c>
      <c r="F63" s="92" t="s">
        <v>297</v>
      </c>
      <c r="G63" s="74" t="s">
        <v>175</v>
      </c>
      <c r="I63" s="180"/>
      <c r="J63" s="180"/>
      <c r="K63" s="180"/>
      <c r="L63" s="180"/>
      <c r="M63" s="180"/>
      <c r="N63" s="189"/>
      <c r="P63" s="82"/>
      <c r="Q63" s="82">
        <v>0</v>
      </c>
      <c r="R63" s="92"/>
      <c r="S63" s="92"/>
      <c r="T63" s="92"/>
      <c r="U63" s="92"/>
      <c r="V63" s="92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92"/>
      <c r="AU63" s="92"/>
      <c r="AV63" s="82">
        <v>0</v>
      </c>
      <c r="CB63" s="83">
        <v>2930000</v>
      </c>
      <c r="DG63" s="83"/>
      <c r="EM63" s="83">
        <v>0</v>
      </c>
      <c r="EO63" s="42">
        <f t="shared" si="7"/>
        <v>2930000</v>
      </c>
      <c r="EP63" s="70">
        <v>2930000</v>
      </c>
      <c r="EQ63" s="13">
        <f t="shared" si="8"/>
        <v>0</v>
      </c>
      <c r="ER63" s="13"/>
      <c r="ES63" s="8"/>
      <c r="ET63" s="13"/>
      <c r="EU63" s="13"/>
      <c r="EV63" s="13"/>
      <c r="EW63" s="13"/>
      <c r="EX63" s="13"/>
      <c r="FG63" s="219" t="s">
        <v>135</v>
      </c>
      <c r="FH63" s="24">
        <f>チーム別PreSales!E6</f>
        <v>2759811.4000000004</v>
      </c>
      <c r="FI63" s="111"/>
      <c r="FJ63" s="111"/>
      <c r="FK63" s="201"/>
    </row>
    <row r="64" spans="1:167" ht="21" customHeight="1" x14ac:dyDescent="0.55000000000000004">
      <c r="A64" s="33" t="s">
        <v>260</v>
      </c>
      <c r="B64" s="1" t="s">
        <v>256</v>
      </c>
      <c r="C64" s="1" t="s">
        <v>300</v>
      </c>
      <c r="D64" s="1" t="s">
        <v>108</v>
      </c>
      <c r="E64" s="77" t="s">
        <v>301</v>
      </c>
      <c r="F64" s="80" t="s">
        <v>285</v>
      </c>
      <c r="G64" s="74" t="s">
        <v>175</v>
      </c>
      <c r="I64" s="180"/>
      <c r="J64" s="180"/>
      <c r="K64" s="180"/>
      <c r="L64" s="180"/>
      <c r="M64" s="180"/>
      <c r="N64" s="189"/>
      <c r="O64" s="97"/>
      <c r="P64" s="82">
        <v>0</v>
      </c>
      <c r="Q64" s="82">
        <v>1800000</v>
      </c>
      <c r="R64" s="80"/>
      <c r="S64" s="80"/>
      <c r="T64" s="80"/>
      <c r="U64" s="80"/>
      <c r="V64" s="80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80"/>
      <c r="AU64" s="80"/>
      <c r="AV64" s="82">
        <v>1800000</v>
      </c>
      <c r="CB64" s="83">
        <v>1800000</v>
      </c>
      <c r="CC64" s="83"/>
      <c r="CD64" s="83"/>
      <c r="CE64" s="83"/>
      <c r="CF64" s="83"/>
      <c r="CG64" s="83"/>
      <c r="CH64" s="83"/>
      <c r="CI64" s="83"/>
      <c r="CJ64" s="83"/>
      <c r="CK64" s="83"/>
      <c r="CL64" s="83"/>
      <c r="CM64" s="83"/>
      <c r="CN64" s="83"/>
      <c r="CO64" s="83"/>
      <c r="CP64" s="83"/>
      <c r="CQ64" s="83"/>
      <c r="CR64" s="83"/>
      <c r="CS64" s="83"/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3"/>
      <c r="DF64" s="83"/>
      <c r="DG64" s="83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96"/>
      <c r="EO64" s="42">
        <f t="shared" si="7"/>
        <v>5400000</v>
      </c>
      <c r="EP64" s="70">
        <v>5400000</v>
      </c>
      <c r="EQ64" s="13">
        <f t="shared" si="8"/>
        <v>0</v>
      </c>
      <c r="ER64" s="13"/>
      <c r="ES64" s="8"/>
      <c r="ET64" s="13"/>
      <c r="EU64" s="13"/>
      <c r="EV64" s="13"/>
      <c r="EW64" s="13"/>
      <c r="EX64" s="13"/>
      <c r="FK64" s="201"/>
    </row>
    <row r="65" spans="1:167" ht="21" customHeight="1" x14ac:dyDescent="0.55000000000000004">
      <c r="A65" s="33" t="s">
        <v>260</v>
      </c>
      <c r="B65" s="31" t="s">
        <v>256</v>
      </c>
      <c r="C65" s="1" t="s">
        <v>300</v>
      </c>
      <c r="D65" s="1" t="s">
        <v>89</v>
      </c>
      <c r="E65" s="78" t="s">
        <v>302</v>
      </c>
      <c r="F65" s="81" t="s">
        <v>285</v>
      </c>
      <c r="G65" s="43" t="s">
        <v>11</v>
      </c>
      <c r="I65" s="180"/>
      <c r="J65" s="180"/>
      <c r="K65" s="180"/>
      <c r="L65" s="180"/>
      <c r="M65" s="180"/>
      <c r="N65" s="189"/>
      <c r="P65" s="82">
        <v>0</v>
      </c>
      <c r="Q65" s="82"/>
      <c r="R65" s="80"/>
      <c r="S65" s="80"/>
      <c r="T65" s="80"/>
      <c r="U65" s="80"/>
      <c r="V65" s="80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80"/>
      <c r="AU65" s="80"/>
      <c r="AV65" s="82"/>
      <c r="AW65" s="2"/>
      <c r="AX65" s="2"/>
      <c r="AY65" s="2"/>
      <c r="BB65" s="2"/>
      <c r="BC65" s="2"/>
      <c r="BD65" s="2"/>
      <c r="BE65" s="2"/>
      <c r="BF65" s="2"/>
      <c r="BI65" s="2"/>
      <c r="BJ65" s="2"/>
      <c r="BK65" s="2"/>
      <c r="BL65" s="2"/>
      <c r="BM65" s="2"/>
      <c r="BP65" s="2"/>
      <c r="BQ65" s="2"/>
      <c r="BR65" s="2"/>
      <c r="BS65" s="2"/>
      <c r="BT65" s="2"/>
      <c r="BW65" s="2"/>
      <c r="BX65" s="2"/>
      <c r="BY65" s="2"/>
      <c r="BZ65" s="2"/>
      <c r="CA65" s="2"/>
      <c r="CB65" s="89"/>
      <c r="CC65" s="7"/>
      <c r="CD65" s="7"/>
      <c r="CE65" s="7"/>
      <c r="CF65" s="7"/>
      <c r="CG65" s="7"/>
      <c r="CH65" s="84"/>
      <c r="CI65" s="84"/>
      <c r="CJ65" s="7"/>
      <c r="CK65" s="7"/>
      <c r="CL65" s="7"/>
      <c r="CM65" s="7"/>
      <c r="CN65" s="7"/>
      <c r="CO65" s="84"/>
      <c r="CP65" s="84"/>
      <c r="CQ65" s="7"/>
      <c r="CR65" s="7"/>
      <c r="CS65" s="7"/>
      <c r="CT65" s="7"/>
      <c r="CU65" s="7"/>
      <c r="CV65" s="84"/>
      <c r="CW65" s="84"/>
      <c r="CX65" s="7"/>
      <c r="CY65" s="7"/>
      <c r="CZ65" s="7"/>
      <c r="DA65" s="7"/>
      <c r="DB65" s="7"/>
      <c r="DC65" s="84"/>
      <c r="DD65" s="84"/>
      <c r="DE65" s="7"/>
      <c r="DF65" s="7"/>
      <c r="DG65" s="98">
        <v>3000000</v>
      </c>
      <c r="DH65" s="108"/>
      <c r="DI65" s="108"/>
      <c r="DJ65" s="108"/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/>
      <c r="EB65" s="108"/>
      <c r="EC65" s="108"/>
      <c r="ED65" s="108"/>
      <c r="EE65" s="108"/>
      <c r="EF65" s="108"/>
      <c r="EG65" s="108"/>
      <c r="EH65" s="108"/>
      <c r="EI65" s="108"/>
      <c r="EJ65" s="108"/>
      <c r="EK65" s="108"/>
      <c r="EL65" s="108"/>
      <c r="EM65" s="11">
        <v>3000000</v>
      </c>
      <c r="EO65" s="200">
        <f t="shared" si="7"/>
        <v>6000000</v>
      </c>
      <c r="EP65" s="70">
        <v>6000000</v>
      </c>
      <c r="EQ65" s="13">
        <f t="shared" si="8"/>
        <v>0</v>
      </c>
      <c r="ER65" s="13"/>
      <c r="ES65" s="8"/>
      <c r="ET65" s="13"/>
      <c r="EU65" s="13"/>
      <c r="EV65" s="13"/>
      <c r="EW65" s="13"/>
      <c r="EX65" s="13"/>
      <c r="FG65" s="219" t="s">
        <v>143</v>
      </c>
      <c r="FH65" s="24">
        <f ca="1">FH61+FH63</f>
        <v>98382248.721065015</v>
      </c>
      <c r="FI65" s="111"/>
      <c r="FJ65" s="24">
        <v>100000000</v>
      </c>
      <c r="FK65" s="201"/>
    </row>
    <row r="66" spans="1:167" ht="21" customHeight="1" x14ac:dyDescent="0.55000000000000004">
      <c r="A66" s="33" t="s">
        <v>260</v>
      </c>
      <c r="B66" s="1" t="s">
        <v>303</v>
      </c>
      <c r="C66" s="1" t="s">
        <v>304</v>
      </c>
      <c r="D66" s="1" t="s">
        <v>108</v>
      </c>
      <c r="E66" s="77" t="s">
        <v>305</v>
      </c>
      <c r="F66" s="80" t="s">
        <v>275</v>
      </c>
      <c r="G66" s="2" t="s">
        <v>122</v>
      </c>
      <c r="I66" s="4"/>
      <c r="J66" s="4"/>
      <c r="K66" s="4"/>
      <c r="L66" s="4"/>
      <c r="M66" s="4"/>
      <c r="N66" s="189"/>
      <c r="O66" s="97"/>
      <c r="P66" s="82">
        <v>0</v>
      </c>
      <c r="Q66" s="82">
        <v>0</v>
      </c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2">
        <v>0</v>
      </c>
      <c r="CB66" s="83">
        <v>0</v>
      </c>
      <c r="CC66" s="108"/>
      <c r="CD66" s="108"/>
      <c r="CE66" s="108"/>
      <c r="CF66" s="108"/>
      <c r="CG66" s="108"/>
      <c r="CH66" s="84"/>
      <c r="CI66" s="84"/>
      <c r="CJ66" s="108"/>
      <c r="CK66" s="108"/>
      <c r="CL66" s="108"/>
      <c r="CM66" s="108"/>
      <c r="CN66" s="108"/>
      <c r="CO66" s="84"/>
      <c r="CP66" s="84"/>
      <c r="CQ66" s="108"/>
      <c r="CR66" s="108"/>
      <c r="CS66" s="108"/>
      <c r="CT66" s="108"/>
      <c r="CU66" s="108"/>
      <c r="CV66" s="84"/>
      <c r="CW66" s="84"/>
      <c r="CX66" s="108"/>
      <c r="CY66" s="108"/>
      <c r="CZ66" s="108"/>
      <c r="DA66" s="108"/>
      <c r="DB66" s="108"/>
      <c r="DC66" s="84"/>
      <c r="DD66" s="84"/>
      <c r="DE66" s="108"/>
      <c r="DF66" s="108"/>
      <c r="DG66" s="96">
        <v>0</v>
      </c>
      <c r="DH66" s="108"/>
      <c r="DI66" s="108"/>
      <c r="DJ66" s="108"/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/>
      <c r="EB66" s="108"/>
      <c r="EC66" s="108"/>
      <c r="ED66" s="108"/>
      <c r="EE66" s="108"/>
      <c r="EF66" s="108"/>
      <c r="EG66" s="108"/>
      <c r="EH66" s="108"/>
      <c r="EI66" s="108"/>
      <c r="EJ66" s="108"/>
      <c r="EK66" s="108"/>
      <c r="EL66" s="108"/>
      <c r="EM66" s="96">
        <v>0</v>
      </c>
      <c r="EO66" s="42">
        <f t="shared" si="7"/>
        <v>0</v>
      </c>
      <c r="EP66" s="70">
        <v>0</v>
      </c>
      <c r="EQ66" s="13">
        <f t="shared" si="8"/>
        <v>0</v>
      </c>
      <c r="ER66" s="13"/>
      <c r="ES66" s="8"/>
      <c r="ET66" s="13"/>
      <c r="EU66" s="13"/>
      <c r="EV66" s="13"/>
      <c r="EW66" s="13"/>
      <c r="EX66" s="13"/>
      <c r="FK66" s="201"/>
    </row>
    <row r="67" spans="1:167" ht="21" customHeight="1" x14ac:dyDescent="0.55000000000000004">
      <c r="A67" s="33" t="s">
        <v>260</v>
      </c>
      <c r="B67" s="31" t="s">
        <v>306</v>
      </c>
      <c r="C67" s="1" t="s">
        <v>307</v>
      </c>
      <c r="D67" s="1" t="s">
        <v>108</v>
      </c>
      <c r="E67" s="165" t="s">
        <v>308</v>
      </c>
      <c r="F67" s="81" t="s">
        <v>275</v>
      </c>
      <c r="G67" s="1" t="s">
        <v>186</v>
      </c>
      <c r="I67" s="180"/>
      <c r="J67" s="180"/>
      <c r="K67" s="180"/>
      <c r="L67" s="180"/>
      <c r="M67" s="180"/>
      <c r="N67" s="189"/>
      <c r="O67" s="98"/>
      <c r="P67" s="82">
        <v>0</v>
      </c>
      <c r="Q67" s="82">
        <v>0</v>
      </c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2">
        <v>0</v>
      </c>
      <c r="AW67" s="2"/>
      <c r="AX67" s="2"/>
      <c r="AY67" s="2"/>
      <c r="BB67" s="2"/>
      <c r="BC67" s="2"/>
      <c r="BD67" s="2"/>
      <c r="BE67" s="2"/>
      <c r="BF67" s="2"/>
      <c r="BI67" s="2"/>
      <c r="BJ67" s="2"/>
      <c r="BK67" s="2"/>
      <c r="BL67" s="2"/>
      <c r="BM67" s="2"/>
      <c r="BP67" s="2"/>
      <c r="BQ67" s="2"/>
      <c r="BR67" s="2"/>
      <c r="BS67" s="2"/>
      <c r="BT67" s="2"/>
      <c r="BW67" s="2"/>
      <c r="BX67" s="2"/>
      <c r="BY67" s="2"/>
      <c r="BZ67" s="2"/>
      <c r="CA67" s="2"/>
      <c r="CB67" s="83">
        <v>0</v>
      </c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98">
        <f>600000+1500000*0.5</f>
        <v>1350000</v>
      </c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11">
        <f>600000+1500000*0.5</f>
        <v>1350000</v>
      </c>
      <c r="EO67" s="200">
        <f t="shared" si="7"/>
        <v>2700000</v>
      </c>
      <c r="EP67" s="70">
        <v>2700000</v>
      </c>
      <c r="EQ67" s="13">
        <f t="shared" si="8"/>
        <v>0</v>
      </c>
      <c r="ER67" s="13"/>
      <c r="ES67" s="8"/>
      <c r="ET67" s="13"/>
      <c r="EU67" s="13"/>
      <c r="EV67" s="13"/>
      <c r="EW67" s="13"/>
      <c r="EX67" s="13"/>
      <c r="FK67" s="201"/>
    </row>
    <row r="68" spans="1:167" ht="21" customHeight="1" x14ac:dyDescent="0.55000000000000004">
      <c r="A68" s="33" t="s">
        <v>260</v>
      </c>
      <c r="B68" s="180" t="s">
        <v>309</v>
      </c>
      <c r="C68" s="1" t="s">
        <v>310</v>
      </c>
      <c r="D68" s="1" t="s">
        <v>108</v>
      </c>
      <c r="E68" s="77" t="s">
        <v>311</v>
      </c>
      <c r="F68" s="80" t="s">
        <v>275</v>
      </c>
      <c r="G68" s="74" t="s">
        <v>175</v>
      </c>
      <c r="I68" s="180"/>
      <c r="J68" s="180"/>
      <c r="K68" s="180"/>
      <c r="L68" s="180"/>
      <c r="M68" s="180"/>
      <c r="N68" s="189"/>
      <c r="P68" s="82">
        <v>0</v>
      </c>
      <c r="Q68" s="82">
        <v>0</v>
      </c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  <c r="AP68" s="80"/>
      <c r="AQ68" s="80"/>
      <c r="AR68" s="80"/>
      <c r="AS68" s="80"/>
      <c r="AT68" s="80"/>
      <c r="AU68" s="80"/>
      <c r="AV68" s="82">
        <v>1093202</v>
      </c>
      <c r="AW68" s="2"/>
      <c r="AX68" s="2"/>
      <c r="AY68" s="2"/>
      <c r="BB68" s="2"/>
      <c r="BC68" s="2"/>
      <c r="BD68" s="2"/>
      <c r="BE68" s="2"/>
      <c r="BF68" s="2"/>
      <c r="BI68" s="2"/>
      <c r="BJ68" s="2"/>
      <c r="BK68" s="2"/>
      <c r="BL68" s="2"/>
      <c r="BM68" s="2"/>
      <c r="BP68" s="2"/>
      <c r="BQ68" s="2"/>
      <c r="BR68" s="2"/>
      <c r="BS68" s="2"/>
      <c r="BT68" s="2"/>
      <c r="BW68" s="2"/>
      <c r="BX68" s="2"/>
      <c r="BY68" s="2"/>
      <c r="BZ68" s="2"/>
      <c r="CA68" s="2"/>
      <c r="CB68" s="83">
        <v>0</v>
      </c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3">
        <v>0</v>
      </c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3">
        <v>0</v>
      </c>
      <c r="EO68" s="42">
        <f t="shared" si="7"/>
        <v>1093202</v>
      </c>
      <c r="EP68" s="70">
        <v>1093202</v>
      </c>
      <c r="EQ68" s="13">
        <f t="shared" si="8"/>
        <v>0</v>
      </c>
      <c r="ER68" s="13"/>
      <c r="ES68" s="8"/>
      <c r="ET68" s="13"/>
      <c r="EU68" s="13"/>
      <c r="EV68" s="13"/>
      <c r="EW68" s="13"/>
      <c r="EX68" s="13"/>
      <c r="EY68" s="199" t="s">
        <v>58</v>
      </c>
      <c r="FE68" s="199" t="s">
        <v>312</v>
      </c>
      <c r="FF68" s="199"/>
      <c r="FH68" s="4" t="s">
        <v>313</v>
      </c>
      <c r="FK68" s="201"/>
    </row>
    <row r="69" spans="1:167" ht="21" customHeight="1" x14ac:dyDescent="0.55000000000000004">
      <c r="A69" s="33" t="s">
        <v>260</v>
      </c>
      <c r="B69" s="1" t="s">
        <v>314</v>
      </c>
      <c r="C69" s="2" t="s">
        <v>315</v>
      </c>
      <c r="D69" s="1" t="s">
        <v>108</v>
      </c>
      <c r="E69" s="77" t="s">
        <v>316</v>
      </c>
      <c r="F69" s="80" t="s">
        <v>275</v>
      </c>
      <c r="G69" s="2" t="s">
        <v>122</v>
      </c>
      <c r="I69" s="4"/>
      <c r="J69" s="4"/>
      <c r="K69" s="4"/>
      <c r="L69" s="4"/>
      <c r="M69" s="4"/>
      <c r="N69" s="189"/>
      <c r="O69" s="97"/>
      <c r="P69" s="82">
        <v>0</v>
      </c>
      <c r="Q69" s="82">
        <v>0</v>
      </c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2"/>
      <c r="CB69" s="83"/>
      <c r="CC69" s="108"/>
      <c r="CD69" s="108"/>
      <c r="CE69" s="108"/>
      <c r="CF69" s="108"/>
      <c r="CG69" s="108"/>
      <c r="CH69" s="84"/>
      <c r="CI69" s="84"/>
      <c r="CJ69" s="108"/>
      <c r="CK69" s="108"/>
      <c r="CL69" s="108"/>
      <c r="CM69" s="108"/>
      <c r="CN69" s="108"/>
      <c r="CO69" s="84"/>
      <c r="CP69" s="84"/>
      <c r="CQ69" s="108"/>
      <c r="CR69" s="108"/>
      <c r="CS69" s="108"/>
      <c r="CT69" s="108"/>
      <c r="CU69" s="108"/>
      <c r="CV69" s="84"/>
      <c r="CW69" s="84"/>
      <c r="CX69" s="108"/>
      <c r="CY69" s="108"/>
      <c r="CZ69" s="108"/>
      <c r="DA69" s="108"/>
      <c r="DB69" s="108"/>
      <c r="DC69" s="84"/>
      <c r="DD69" s="84"/>
      <c r="DE69" s="108"/>
      <c r="DF69" s="108"/>
      <c r="DG69" s="96"/>
      <c r="DH69" s="108"/>
      <c r="DI69" s="108"/>
      <c r="DJ69" s="108"/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08"/>
      <c r="EI69" s="108"/>
      <c r="EJ69" s="108"/>
      <c r="EK69" s="108"/>
      <c r="EL69" s="108"/>
      <c r="EM69" s="96"/>
      <c r="EO69" s="42">
        <f t="shared" si="7"/>
        <v>0</v>
      </c>
      <c r="EP69" s="70">
        <v>0</v>
      </c>
      <c r="EQ69" s="13">
        <f t="shared" si="8"/>
        <v>0</v>
      </c>
      <c r="ER69" s="13"/>
      <c r="ES69" s="13"/>
      <c r="ET69" s="13"/>
      <c r="EU69" s="13"/>
      <c r="EV69" s="13"/>
      <c r="EW69" s="13"/>
      <c r="EX69" s="13"/>
      <c r="EY69" s="197">
        <f ca="1">FA77/FB77</f>
        <v>1.4121991885011218</v>
      </c>
      <c r="EZ69" s="67" t="s">
        <v>176</v>
      </c>
      <c r="FA69" s="67" t="s">
        <v>177</v>
      </c>
      <c r="FB69" s="67" t="s">
        <v>271</v>
      </c>
      <c r="FE69" s="9" t="s">
        <v>94</v>
      </c>
      <c r="FF69" s="35">
        <f ca="1">FH80/FI80</f>
        <v>0.98005223928755347</v>
      </c>
      <c r="FG69" s="67" t="s">
        <v>176</v>
      </c>
      <c r="FH69" s="67" t="s">
        <v>177</v>
      </c>
      <c r="FI69" s="67" t="s">
        <v>271</v>
      </c>
      <c r="FJ69" s="67" t="s">
        <v>96</v>
      </c>
      <c r="FK69" s="201"/>
    </row>
    <row r="70" spans="1:167" ht="21" customHeight="1" x14ac:dyDescent="0.55000000000000004">
      <c r="A70" s="33" t="s">
        <v>260</v>
      </c>
      <c r="B70" s="1" t="s">
        <v>317</v>
      </c>
      <c r="C70" s="2" t="s">
        <v>318</v>
      </c>
      <c r="D70" s="1" t="s">
        <v>89</v>
      </c>
      <c r="E70" s="77" t="s">
        <v>319</v>
      </c>
      <c r="F70" s="92" t="s">
        <v>281</v>
      </c>
      <c r="G70" s="2" t="s">
        <v>122</v>
      </c>
      <c r="I70" s="4"/>
      <c r="J70" s="4"/>
      <c r="K70" s="4"/>
      <c r="L70" s="4"/>
      <c r="M70" s="4"/>
      <c r="N70" s="189"/>
      <c r="O70" s="97"/>
      <c r="P70" s="82">
        <v>0</v>
      </c>
      <c r="Q70" s="82"/>
      <c r="R70" s="80"/>
      <c r="S70" s="80"/>
      <c r="T70" s="80"/>
      <c r="U70" s="80"/>
      <c r="V70" s="80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80"/>
      <c r="AU70" s="80"/>
      <c r="AV70" s="82">
        <v>0</v>
      </c>
      <c r="CB70" s="83"/>
      <c r="CC70" s="7"/>
      <c r="CD70" s="7"/>
      <c r="CE70" s="7"/>
      <c r="CF70" s="7"/>
      <c r="CG70" s="7"/>
      <c r="CH70" s="84"/>
      <c r="CI70" s="84"/>
      <c r="CJ70" s="7"/>
      <c r="CK70" s="7"/>
      <c r="CL70" s="7"/>
      <c r="CM70" s="7"/>
      <c r="CN70" s="7"/>
      <c r="CO70" s="84"/>
      <c r="CP70" s="84"/>
      <c r="CQ70" s="7"/>
      <c r="CR70" s="7"/>
      <c r="CS70" s="7"/>
      <c r="CT70" s="7"/>
      <c r="CU70" s="7"/>
      <c r="CV70" s="84"/>
      <c r="CW70" s="84"/>
      <c r="CX70" s="7"/>
      <c r="CY70" s="7"/>
      <c r="CZ70" s="7"/>
      <c r="DA70" s="7"/>
      <c r="DB70" s="7"/>
      <c r="DC70" s="84"/>
      <c r="DD70" s="84"/>
      <c r="DE70" s="7"/>
      <c r="DF70" s="7"/>
      <c r="DG70" s="168"/>
      <c r="DH70" s="86"/>
      <c r="DI70" s="86"/>
      <c r="DJ70" s="86"/>
      <c r="DK70" s="86"/>
      <c r="DL70" s="86"/>
      <c r="DM70" s="86"/>
      <c r="DN70" s="86"/>
      <c r="DO70" s="86"/>
      <c r="DP70" s="86"/>
      <c r="DQ70" s="86"/>
      <c r="DR70" s="86"/>
      <c r="DS70" s="86"/>
      <c r="DT70" s="86"/>
      <c r="DU70" s="86"/>
      <c r="DV70" s="86"/>
      <c r="DW70" s="86"/>
      <c r="DX70" s="86"/>
      <c r="DY70" s="86"/>
      <c r="DZ70" s="86"/>
      <c r="EA70" s="86"/>
      <c r="EB70" s="86"/>
      <c r="EC70" s="86"/>
      <c r="ED70" s="86"/>
      <c r="EE70" s="86"/>
      <c r="EF70" s="86"/>
      <c r="EG70" s="86"/>
      <c r="EH70" s="86"/>
      <c r="EI70" s="86"/>
      <c r="EJ70" s="86"/>
      <c r="EK70" s="86"/>
      <c r="EL70" s="86"/>
      <c r="EM70" s="96"/>
      <c r="EO70" s="42">
        <f t="shared" si="7"/>
        <v>0</v>
      </c>
      <c r="EP70" s="70">
        <v>0</v>
      </c>
      <c r="EQ70" s="13">
        <f t="shared" si="8"/>
        <v>0</v>
      </c>
      <c r="ER70" s="13"/>
      <c r="ES70" s="8"/>
      <c r="ET70" s="13"/>
      <c r="EU70" s="13"/>
      <c r="EV70" s="13"/>
      <c r="EW70" s="13"/>
      <c r="EX70" s="13"/>
      <c r="EY70" s="196"/>
      <c r="EZ70" s="19" t="s">
        <v>179</v>
      </c>
      <c r="FA70" s="68">
        <f>FA6+FA30+FA56</f>
        <v>276200403.55800003</v>
      </c>
      <c r="FB70" s="111"/>
      <c r="FE70" s="9" t="s">
        <v>65</v>
      </c>
      <c r="FF70" s="35">
        <f ca="1">FH80/FJ81</f>
        <v>1.1712838935839125</v>
      </c>
      <c r="FG70" s="19" t="s">
        <v>179</v>
      </c>
      <c r="FH70" s="68">
        <f>FH6+FH30+FH56</f>
        <v>414913017.28356504</v>
      </c>
      <c r="FI70" s="111"/>
      <c r="FJ70" s="111"/>
      <c r="FK70" s="201"/>
    </row>
    <row r="71" spans="1:167" ht="21" customHeight="1" x14ac:dyDescent="0.55000000000000004">
      <c r="A71" s="33" t="s">
        <v>260</v>
      </c>
      <c r="B71" s="1" t="s">
        <v>317</v>
      </c>
      <c r="C71" s="1" t="s">
        <v>320</v>
      </c>
      <c r="D71" s="1" t="s">
        <v>89</v>
      </c>
      <c r="E71" s="77" t="s">
        <v>321</v>
      </c>
      <c r="F71" s="92" t="s">
        <v>322</v>
      </c>
      <c r="G71" s="2" t="s">
        <v>179</v>
      </c>
      <c r="I71" s="4"/>
      <c r="J71" s="4"/>
      <c r="K71" s="4"/>
      <c r="L71" s="4"/>
      <c r="M71" s="4"/>
      <c r="N71" s="189"/>
      <c r="P71" s="82">
        <v>0</v>
      </c>
      <c r="Q71" s="82">
        <v>800000</v>
      </c>
      <c r="R71" s="80"/>
      <c r="S71" s="80"/>
      <c r="T71" s="80"/>
      <c r="U71" s="80"/>
      <c r="V71" s="80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80"/>
      <c r="AU71" s="80"/>
      <c r="AV71" s="82">
        <f>3500000*0.1+3000000*0.15</f>
        <v>800000</v>
      </c>
      <c r="CB71" s="83">
        <f>1300000</f>
        <v>1300000</v>
      </c>
      <c r="CC71" s="7"/>
      <c r="CD71" s="7"/>
      <c r="CE71" s="7"/>
      <c r="CF71" s="7"/>
      <c r="CG71" s="7"/>
      <c r="CI71" s="84"/>
      <c r="CJ71" s="7"/>
      <c r="CK71" s="7"/>
      <c r="CL71" s="7"/>
      <c r="CM71" s="7"/>
      <c r="CN71" s="7"/>
      <c r="CO71" s="84"/>
      <c r="CP71" s="84"/>
      <c r="CQ71" s="7"/>
      <c r="CR71" s="7"/>
      <c r="CS71" s="7"/>
      <c r="CT71" s="7"/>
      <c r="CU71" s="7"/>
      <c r="CV71" s="84"/>
      <c r="CW71" s="84"/>
      <c r="CX71" s="7"/>
      <c r="CY71" s="7"/>
      <c r="CZ71" s="7"/>
      <c r="DA71" s="7"/>
      <c r="DB71" s="7"/>
      <c r="DC71" s="84"/>
      <c r="DD71" s="84"/>
      <c r="DE71" s="7"/>
      <c r="DF71" s="7"/>
      <c r="DG71" s="83">
        <f>1300000</f>
        <v>1300000</v>
      </c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83"/>
      <c r="EO71" s="42">
        <f t="shared" si="7"/>
        <v>4200000</v>
      </c>
      <c r="EP71" s="70">
        <v>4000000</v>
      </c>
      <c r="EQ71" s="13">
        <f t="shared" si="8"/>
        <v>200000</v>
      </c>
      <c r="ER71" s="13"/>
      <c r="ES71" s="8"/>
      <c r="ET71" s="13"/>
      <c r="EU71" s="13"/>
      <c r="EV71" s="13"/>
      <c r="EW71" s="13"/>
      <c r="EX71" s="13"/>
      <c r="EY71" s="4"/>
      <c r="EZ71" s="19" t="s">
        <v>181</v>
      </c>
      <c r="FA71" s="68">
        <f>FA7+FA31+FA57</f>
        <v>6490000</v>
      </c>
      <c r="FB71" s="111"/>
      <c r="FG71" s="19" t="s">
        <v>181</v>
      </c>
      <c r="FH71" s="68">
        <f>FH7+FH31+FH57</f>
        <v>6490000</v>
      </c>
      <c r="FI71" s="111"/>
      <c r="FJ71" s="111"/>
      <c r="FK71" s="201"/>
    </row>
    <row r="72" spans="1:167" ht="21" customHeight="1" x14ac:dyDescent="0.55000000000000004">
      <c r="A72" s="33" t="s">
        <v>294</v>
      </c>
      <c r="B72" s="1" t="s">
        <v>317</v>
      </c>
      <c r="C72" s="1" t="s">
        <v>323</v>
      </c>
      <c r="D72" s="1" t="s">
        <v>89</v>
      </c>
      <c r="E72" s="78" t="s">
        <v>324</v>
      </c>
      <c r="F72" s="183" t="s">
        <v>322</v>
      </c>
      <c r="G72" s="1" t="s">
        <v>11</v>
      </c>
      <c r="I72" s="4"/>
      <c r="J72" s="4"/>
      <c r="K72" s="4"/>
      <c r="L72" s="4"/>
      <c r="M72" s="4"/>
      <c r="N72" s="217"/>
      <c r="P72" s="184">
        <v>0</v>
      </c>
      <c r="Q72" s="184"/>
      <c r="R72" s="92"/>
      <c r="S72" s="92"/>
      <c r="T72" s="92"/>
      <c r="U72" s="92"/>
      <c r="V72" s="92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92"/>
      <c r="AU72" s="92"/>
      <c r="AV72" s="184"/>
      <c r="EM72" s="98">
        <f>3500000*0.1+3000000*0.15</f>
        <v>800000</v>
      </c>
      <c r="EO72" s="200">
        <f>P72+Q72+AV72+CB72+DG72+EM72</f>
        <v>800000</v>
      </c>
      <c r="EP72" s="70"/>
      <c r="EQ72" s="13">
        <f>EO72-EP72</f>
        <v>800000</v>
      </c>
      <c r="ER72" s="13"/>
      <c r="ES72" s="8"/>
      <c r="ET72" s="13"/>
      <c r="EU72" s="13"/>
      <c r="EV72" s="13"/>
      <c r="EW72" s="13"/>
      <c r="EX72" s="13"/>
      <c r="EY72" s="4"/>
      <c r="EZ72" s="19" t="s">
        <v>181</v>
      </c>
      <c r="FA72" s="20">
        <f>FA8+FA32+FA58</f>
        <v>9960000</v>
      </c>
      <c r="FB72" s="111"/>
      <c r="FG72" s="19" t="s">
        <v>27</v>
      </c>
      <c r="FH72" s="68">
        <f>FH8+FH32+FH58</f>
        <v>9960000</v>
      </c>
      <c r="FI72" s="111"/>
      <c r="FJ72" s="111"/>
      <c r="FK72" s="201"/>
    </row>
    <row r="73" spans="1:167" ht="21" customHeight="1" x14ac:dyDescent="0.55000000000000004">
      <c r="A73" s="33" t="s">
        <v>260</v>
      </c>
      <c r="B73" s="4" t="s">
        <v>325</v>
      </c>
      <c r="C73" s="2" t="s">
        <v>326</v>
      </c>
      <c r="D73" s="1" t="s">
        <v>108</v>
      </c>
      <c r="E73" s="77" t="s">
        <v>327</v>
      </c>
      <c r="F73" s="92" t="s">
        <v>328</v>
      </c>
      <c r="G73" s="2" t="s">
        <v>122</v>
      </c>
      <c r="I73" s="4"/>
      <c r="J73" s="4"/>
      <c r="K73" s="4"/>
      <c r="L73" s="4"/>
      <c r="M73" s="4"/>
      <c r="N73" s="189"/>
      <c r="O73" s="97"/>
      <c r="P73" s="82">
        <v>0</v>
      </c>
      <c r="Q73" s="82">
        <v>0</v>
      </c>
      <c r="R73" s="80"/>
      <c r="S73" s="80"/>
      <c r="T73" s="80"/>
      <c r="U73" s="80"/>
      <c r="V73" s="80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80"/>
      <c r="AU73" s="80"/>
      <c r="AV73" s="82">
        <v>0</v>
      </c>
      <c r="CB73" s="168"/>
      <c r="CC73" s="86"/>
      <c r="CD73" s="86"/>
      <c r="CE73" s="86"/>
      <c r="CF73" s="86"/>
      <c r="CG73" s="86"/>
      <c r="CH73" s="84"/>
      <c r="CI73" s="211"/>
      <c r="CJ73" s="86"/>
      <c r="CK73" s="86"/>
      <c r="CL73" s="86"/>
      <c r="CM73" s="86"/>
      <c r="CN73" s="86"/>
      <c r="CO73" s="211"/>
      <c r="CP73" s="211"/>
      <c r="CQ73" s="86"/>
      <c r="CR73" s="86"/>
      <c r="CS73" s="86"/>
      <c r="CT73" s="86"/>
      <c r="CU73" s="86"/>
      <c r="CV73" s="211"/>
      <c r="CW73" s="211"/>
      <c r="CX73" s="86"/>
      <c r="CY73" s="86"/>
      <c r="CZ73" s="86"/>
      <c r="DA73" s="86"/>
      <c r="DB73" s="86"/>
      <c r="DC73" s="211"/>
      <c r="DD73" s="211"/>
      <c r="DE73" s="86"/>
      <c r="DF73" s="86"/>
      <c r="DG73" s="96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96"/>
      <c r="EO73" s="42">
        <f t="shared" si="7"/>
        <v>0</v>
      </c>
      <c r="EP73" s="70">
        <v>0</v>
      </c>
      <c r="EQ73" s="13">
        <f t="shared" si="8"/>
        <v>0</v>
      </c>
      <c r="ER73" s="13"/>
      <c r="ES73" s="8"/>
      <c r="ET73" s="13"/>
      <c r="EU73" s="13"/>
      <c r="EV73" s="13"/>
      <c r="EW73" s="13"/>
      <c r="EX73" s="13"/>
      <c r="EY73" s="4"/>
      <c r="EZ73" s="19" t="s">
        <v>27</v>
      </c>
      <c r="FA73" s="68">
        <f>FA8+FA32+FA58</f>
        <v>9960000</v>
      </c>
      <c r="FB73" s="111"/>
      <c r="FG73" s="19" t="s">
        <v>186</v>
      </c>
      <c r="FH73" s="68">
        <f ca="1">FH9+FH33+FH59</f>
        <v>2700000</v>
      </c>
      <c r="FI73" s="111"/>
      <c r="FJ73" s="111"/>
    </row>
    <row r="74" spans="1:167" ht="21" customHeight="1" x14ac:dyDescent="0.55000000000000004">
      <c r="A74" s="33" t="s">
        <v>260</v>
      </c>
      <c r="B74" s="31" t="s">
        <v>329</v>
      </c>
      <c r="C74" s="1" t="s">
        <v>330</v>
      </c>
      <c r="D74" s="41" t="s">
        <v>89</v>
      </c>
      <c r="E74" s="77" t="s">
        <v>301</v>
      </c>
      <c r="F74" s="80" t="s">
        <v>331</v>
      </c>
      <c r="G74" s="74" t="s">
        <v>175</v>
      </c>
      <c r="I74" s="180"/>
      <c r="J74" s="180"/>
      <c r="K74" s="180"/>
      <c r="L74" s="180"/>
      <c r="M74" s="180"/>
      <c r="N74" s="189"/>
      <c r="O74" s="98"/>
      <c r="P74" s="82">
        <v>0</v>
      </c>
      <c r="Q74" s="82">
        <v>775000.00000000012</v>
      </c>
      <c r="R74" s="80"/>
      <c r="S74" s="80"/>
      <c r="T74" s="80"/>
      <c r="U74" s="80"/>
      <c r="V74" s="80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80"/>
      <c r="AU74" s="80"/>
      <c r="AV74" s="82">
        <v>775000.00000000012</v>
      </c>
      <c r="CB74" s="83">
        <v>775000.00000000012</v>
      </c>
      <c r="CC74" s="7"/>
      <c r="CD74" s="7"/>
      <c r="CE74" s="7"/>
      <c r="CF74" s="7"/>
      <c r="CG74" s="7"/>
      <c r="CH74" s="84"/>
      <c r="CI74" s="84"/>
      <c r="CJ74" s="7"/>
      <c r="CK74" s="7"/>
      <c r="CL74" s="7"/>
      <c r="CM74" s="7"/>
      <c r="CN74" s="7"/>
      <c r="CO74" s="84"/>
      <c r="CP74" s="84"/>
      <c r="CQ74" s="7"/>
      <c r="CR74" s="7"/>
      <c r="CS74" s="7"/>
      <c r="CT74" s="7"/>
      <c r="CU74" s="7"/>
      <c r="CV74" s="84"/>
      <c r="CW74" s="84"/>
      <c r="CX74" s="7"/>
      <c r="CY74" s="7"/>
      <c r="CZ74" s="7"/>
      <c r="DA74" s="7"/>
      <c r="DB74" s="7"/>
      <c r="DC74" s="84"/>
      <c r="DD74" s="84"/>
      <c r="DE74" s="7"/>
      <c r="DF74" s="7"/>
      <c r="DG74" s="98"/>
      <c r="DH74" s="205"/>
      <c r="DI74" s="205"/>
      <c r="DJ74" s="205"/>
      <c r="DK74" s="205"/>
      <c r="DL74" s="205"/>
      <c r="DM74" s="205"/>
      <c r="DN74" s="205"/>
      <c r="DO74" s="205"/>
      <c r="DP74" s="205"/>
      <c r="DQ74" s="205"/>
      <c r="DR74" s="205"/>
      <c r="DS74" s="205"/>
      <c r="DT74" s="205"/>
      <c r="DU74" s="205"/>
      <c r="DV74" s="205"/>
      <c r="DW74" s="205"/>
      <c r="DX74" s="205"/>
      <c r="DY74" s="205"/>
      <c r="DZ74" s="205"/>
      <c r="EA74" s="205"/>
      <c r="EB74" s="205"/>
      <c r="EC74" s="205"/>
      <c r="ED74" s="205"/>
      <c r="EE74" s="205"/>
      <c r="EF74" s="205"/>
      <c r="EG74" s="205"/>
      <c r="EH74" s="205"/>
      <c r="EI74" s="205"/>
      <c r="EJ74" s="205"/>
      <c r="EK74" s="205"/>
      <c r="EL74" s="205"/>
      <c r="EM74" s="98"/>
      <c r="EO74" s="8">
        <f t="shared" si="7"/>
        <v>2325000.0000000005</v>
      </c>
      <c r="EP74" s="70"/>
      <c r="EQ74" s="13">
        <f t="shared" si="8"/>
        <v>2325000.0000000005</v>
      </c>
      <c r="ER74" s="13"/>
      <c r="ES74" s="8"/>
      <c r="ET74" s="13"/>
      <c r="EU74" s="13"/>
      <c r="EV74" s="13"/>
      <c r="EW74" s="13"/>
      <c r="EX74" s="13"/>
      <c r="EY74" s="4"/>
      <c r="EZ74" s="19" t="s">
        <v>186</v>
      </c>
      <c r="FA74" s="68">
        <f ca="1">FA9+FA33+FA59</f>
        <v>2700000</v>
      </c>
      <c r="FB74" s="111"/>
      <c r="FG74" s="19" t="s">
        <v>186</v>
      </c>
      <c r="FH74" s="20">
        <f>FH10+FH34+FH60</f>
        <v>0</v>
      </c>
      <c r="FI74" s="111"/>
      <c r="FJ74" s="111"/>
    </row>
    <row r="75" spans="1:167" ht="21" customHeight="1" x14ac:dyDescent="0.55000000000000004">
      <c r="A75" s="33" t="s">
        <v>294</v>
      </c>
      <c r="B75" s="31" t="s">
        <v>329</v>
      </c>
      <c r="C75" s="1" t="s">
        <v>332</v>
      </c>
      <c r="D75" s="41" t="s">
        <v>89</v>
      </c>
      <c r="E75" s="78" t="s">
        <v>333</v>
      </c>
      <c r="F75" s="183" t="s">
        <v>331</v>
      </c>
      <c r="G75" s="43" t="s">
        <v>11</v>
      </c>
      <c r="I75" s="180"/>
      <c r="J75" s="180"/>
      <c r="K75" s="180"/>
      <c r="L75" s="180"/>
      <c r="M75" s="180"/>
      <c r="N75" s="217"/>
      <c r="O75" s="98"/>
      <c r="P75" s="82">
        <v>0</v>
      </c>
      <c r="Q75" s="82"/>
      <c r="R75" s="92"/>
      <c r="S75" s="92"/>
      <c r="T75" s="92"/>
      <c r="U75" s="92"/>
      <c r="V75" s="92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92"/>
      <c r="AU75" s="92"/>
      <c r="AV75" s="82"/>
      <c r="CB75" s="83"/>
      <c r="DG75" s="98">
        <v>1250000</v>
      </c>
      <c r="DH75" s="262"/>
      <c r="DI75" s="262"/>
      <c r="DJ75" s="262"/>
      <c r="DK75" s="262"/>
      <c r="DL75" s="262"/>
      <c r="DM75" s="262"/>
      <c r="DN75" s="262"/>
      <c r="DO75" s="262"/>
      <c r="DP75" s="262"/>
      <c r="DQ75" s="262"/>
      <c r="DR75" s="262"/>
      <c r="DS75" s="262"/>
      <c r="DT75" s="262"/>
      <c r="DU75" s="262"/>
      <c r="DV75" s="262"/>
      <c r="DW75" s="262"/>
      <c r="DX75" s="262"/>
      <c r="DY75" s="262"/>
      <c r="DZ75" s="262"/>
      <c r="EA75" s="262"/>
      <c r="EB75" s="262"/>
      <c r="EC75" s="262"/>
      <c r="ED75" s="262"/>
      <c r="EE75" s="262"/>
      <c r="EF75" s="262"/>
      <c r="EG75" s="262"/>
      <c r="EH75" s="262"/>
      <c r="EI75" s="262"/>
      <c r="EJ75" s="262"/>
      <c r="EK75" s="262"/>
      <c r="EL75" s="262"/>
      <c r="EM75" s="98">
        <v>1250000</v>
      </c>
      <c r="EO75" s="200">
        <f>P75+Q75+AV75+CB75+DG75+EM75</f>
        <v>2500000</v>
      </c>
      <c r="EP75" s="70">
        <v>6250000</v>
      </c>
      <c r="EQ75" s="13">
        <f>EO75-EP75</f>
        <v>-3750000</v>
      </c>
      <c r="ER75" s="13"/>
      <c r="ES75" s="8"/>
      <c r="ET75" s="13"/>
      <c r="EU75" s="13"/>
      <c r="EV75" s="13"/>
      <c r="EW75" s="13"/>
      <c r="EX75" s="13"/>
      <c r="EY75" s="4"/>
      <c r="EZ75" s="19" t="s">
        <v>186</v>
      </c>
      <c r="FA75" s="20">
        <f>FA10+FA34+FA60</f>
        <v>0</v>
      </c>
      <c r="FB75" s="111"/>
      <c r="FG75" s="19" t="s">
        <v>191</v>
      </c>
      <c r="FH75" s="68">
        <f>FH10+FH34+FH60</f>
        <v>0</v>
      </c>
      <c r="FI75" s="111"/>
      <c r="FJ75" s="111"/>
    </row>
    <row r="76" spans="1:167" ht="21" customHeight="1" x14ac:dyDescent="0.55000000000000004">
      <c r="A76" s="33" t="s">
        <v>260</v>
      </c>
      <c r="B76" s="204" t="s">
        <v>334</v>
      </c>
      <c r="C76" s="74" t="s">
        <v>335</v>
      </c>
      <c r="D76" s="41" t="s">
        <v>108</v>
      </c>
      <c r="E76" s="77" t="s">
        <v>336</v>
      </c>
      <c r="F76" s="80" t="s">
        <v>285</v>
      </c>
      <c r="G76" s="2" t="s">
        <v>122</v>
      </c>
      <c r="I76" s="4"/>
      <c r="J76" s="4"/>
      <c r="K76" s="4"/>
      <c r="L76" s="4"/>
      <c r="M76" s="4"/>
      <c r="N76" s="189"/>
      <c r="O76" s="97"/>
      <c r="P76" s="82">
        <v>0</v>
      </c>
      <c r="Q76" s="82">
        <v>0</v>
      </c>
      <c r="R76" s="80"/>
      <c r="S76" s="80"/>
      <c r="T76" s="80"/>
      <c r="U76" s="80"/>
      <c r="V76" s="80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/>
      <c r="AU76" s="80"/>
      <c r="AV76" s="82">
        <v>0</v>
      </c>
      <c r="CB76" s="83">
        <v>0</v>
      </c>
      <c r="CC76" s="7"/>
      <c r="CD76" s="7"/>
      <c r="CE76" s="7"/>
      <c r="CF76" s="7"/>
      <c r="CG76" s="7"/>
      <c r="CH76" s="84"/>
      <c r="CI76" s="84"/>
      <c r="CJ76" s="7"/>
      <c r="CK76" s="7"/>
      <c r="CL76" s="7"/>
      <c r="CM76" s="7"/>
      <c r="CN76" s="7"/>
      <c r="CO76" s="84"/>
      <c r="CP76" s="84"/>
      <c r="CQ76" s="7"/>
      <c r="CR76" s="7"/>
      <c r="CS76" s="7"/>
      <c r="CT76" s="7"/>
      <c r="CU76" s="7"/>
      <c r="CV76" s="84"/>
      <c r="CW76" s="84"/>
      <c r="CX76" s="7"/>
      <c r="CY76" s="7"/>
      <c r="CZ76" s="7"/>
      <c r="DA76" s="7"/>
      <c r="DB76" s="7"/>
      <c r="DC76" s="84"/>
      <c r="DD76" s="84"/>
      <c r="DE76" s="7"/>
      <c r="DF76" s="7"/>
      <c r="DG76" s="96">
        <v>0</v>
      </c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96">
        <v>0</v>
      </c>
      <c r="EO76" s="42">
        <f t="shared" si="7"/>
        <v>0</v>
      </c>
      <c r="EP76" s="70">
        <v>9500000</v>
      </c>
      <c r="EQ76" s="13">
        <f t="shared" si="8"/>
        <v>-9500000</v>
      </c>
      <c r="ER76" s="13"/>
      <c r="ES76" s="8"/>
      <c r="ET76" s="13"/>
      <c r="EU76" s="13"/>
      <c r="EV76" s="13"/>
      <c r="EW76" s="13"/>
      <c r="EX76" s="13"/>
      <c r="EY76" s="4"/>
      <c r="EZ76" s="19" t="s">
        <v>191</v>
      </c>
      <c r="FA76" s="68">
        <f>FA10+FA34+FA60</f>
        <v>0</v>
      </c>
      <c r="FB76" s="111"/>
      <c r="FG76" s="219" t="s">
        <v>127</v>
      </c>
      <c r="FH76" s="24">
        <f ca="1">SUM(FH70:FH75)</f>
        <v>434063017.28356504</v>
      </c>
      <c r="FI76" s="24">
        <v>466835771.25</v>
      </c>
      <c r="FJ76" s="111"/>
    </row>
    <row r="77" spans="1:167" ht="21" customHeight="1" x14ac:dyDescent="0.55000000000000004">
      <c r="A77" s="33" t="s">
        <v>260</v>
      </c>
      <c r="B77" s="180" t="s">
        <v>165</v>
      </c>
      <c r="C77" s="43"/>
      <c r="E77" s="78"/>
      <c r="F77" s="81"/>
      <c r="I77" s="4">
        <v>5564550</v>
      </c>
      <c r="J77" s="4">
        <v>4550400</v>
      </c>
      <c r="K77" s="4">
        <v>7070449.5</v>
      </c>
      <c r="L77" s="4">
        <v>1831287.50064</v>
      </c>
      <c r="M77" s="4">
        <v>6842527.5006400002</v>
      </c>
      <c r="N77" s="189">
        <v>5912549.9997850005</v>
      </c>
      <c r="O77" s="193">
        <f>SUM(I77:N77)</f>
        <v>31771764.501065001</v>
      </c>
      <c r="P77" s="184"/>
      <c r="Q77" s="184"/>
      <c r="R77" s="81"/>
      <c r="S77" s="81"/>
      <c r="T77" s="81"/>
      <c r="U77" s="81"/>
      <c r="V77" s="81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81"/>
      <c r="AU77" s="81"/>
      <c r="AV77" s="184"/>
      <c r="AX77" s="43"/>
      <c r="AY77" s="43"/>
      <c r="AZ77" s="74"/>
      <c r="BA77" s="74"/>
      <c r="BB77" s="43"/>
      <c r="BC77" s="43"/>
      <c r="BD77" s="43"/>
      <c r="BE77" s="43"/>
      <c r="BF77" s="43"/>
      <c r="BG77" s="74"/>
      <c r="BH77" s="74"/>
      <c r="BI77" s="43"/>
      <c r="BJ77" s="43"/>
      <c r="BK77" s="43"/>
      <c r="BL77" s="43"/>
      <c r="BM77" s="43"/>
      <c r="BN77" s="74"/>
      <c r="BO77" s="74"/>
      <c r="BP77" s="43"/>
      <c r="BQ77" s="43"/>
      <c r="BR77" s="43"/>
      <c r="BS77" s="43"/>
      <c r="BT77" s="43"/>
      <c r="BU77" s="74"/>
      <c r="BV77" s="74"/>
      <c r="BW77" s="43"/>
      <c r="BX77" s="43"/>
      <c r="BY77" s="43"/>
      <c r="BZ77" s="43"/>
      <c r="CA77" s="43"/>
      <c r="CB77" s="96"/>
      <c r="CC77" s="91"/>
      <c r="CD77" s="91"/>
      <c r="CE77" s="91"/>
      <c r="CF77" s="91"/>
      <c r="CG77" s="91"/>
      <c r="CH77" s="92"/>
      <c r="CI77" s="92"/>
      <c r="CJ77" s="91"/>
      <c r="CK77" s="91"/>
      <c r="CL77" s="91"/>
      <c r="CM77" s="91"/>
      <c r="CN77" s="91"/>
      <c r="CO77" s="92"/>
      <c r="CP77" s="92"/>
      <c r="CQ77" s="91"/>
      <c r="CR77" s="91"/>
      <c r="CS77" s="91"/>
      <c r="CT77" s="91"/>
      <c r="CU77" s="91"/>
      <c r="CV77" s="92"/>
      <c r="CW77" s="92"/>
      <c r="CX77" s="91"/>
      <c r="CY77" s="91"/>
      <c r="CZ77" s="91"/>
      <c r="DA77" s="91"/>
      <c r="DB77" s="91"/>
      <c r="DC77" s="92"/>
      <c r="DD77" s="92"/>
      <c r="DE77" s="91"/>
      <c r="DF77" s="91"/>
      <c r="DG77" s="97"/>
      <c r="DH77" s="108"/>
      <c r="DI77" s="108"/>
      <c r="DJ77" s="108"/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08"/>
      <c r="EB77" s="108"/>
      <c r="EC77" s="108"/>
      <c r="ED77" s="108"/>
      <c r="EE77" s="108"/>
      <c r="EF77" s="108"/>
      <c r="EG77" s="108"/>
      <c r="EH77" s="108"/>
      <c r="EI77" s="108"/>
      <c r="EJ77" s="108"/>
      <c r="EK77" s="108"/>
      <c r="EL77" s="108"/>
      <c r="EM77" s="97"/>
      <c r="EP77" s="8"/>
      <c r="EQ77" s="13"/>
      <c r="ER77" s="13"/>
      <c r="ES77" s="8"/>
      <c r="ET77" s="13"/>
      <c r="EU77" s="13"/>
      <c r="EV77" s="13"/>
      <c r="EW77" s="13"/>
      <c r="EX77" s="13"/>
      <c r="EY77" s="4"/>
      <c r="EZ77" s="23" t="s">
        <v>195</v>
      </c>
      <c r="FA77" s="24">
        <f ca="1">SUM(FA70:FA76)</f>
        <v>305310403.55800003</v>
      </c>
      <c r="FB77" s="24">
        <f>FB11+FB35+FB61</f>
        <v>216195000</v>
      </c>
      <c r="FJ77" s="111"/>
    </row>
    <row r="78" spans="1:167" ht="21" customHeight="1" x14ac:dyDescent="0.55000000000000004">
      <c r="A78" s="33" t="s">
        <v>260</v>
      </c>
      <c r="B78" s="1" t="s">
        <v>337</v>
      </c>
      <c r="C78" s="1" t="s">
        <v>338</v>
      </c>
      <c r="D78" s="41" t="s">
        <v>108</v>
      </c>
      <c r="E78" s="77" t="s">
        <v>339</v>
      </c>
      <c r="F78" s="80" t="s">
        <v>281</v>
      </c>
      <c r="G78" s="74" t="s">
        <v>103</v>
      </c>
      <c r="I78" s="43"/>
      <c r="J78" s="43"/>
      <c r="K78" s="43"/>
      <c r="L78" s="43"/>
      <c r="M78" s="43"/>
      <c r="N78" s="184"/>
      <c r="O78" s="87"/>
      <c r="P78" s="82">
        <v>0</v>
      </c>
      <c r="Q78" s="82">
        <v>0</v>
      </c>
      <c r="R78" s="80"/>
      <c r="S78" s="80"/>
      <c r="T78" s="80"/>
      <c r="U78" s="80"/>
      <c r="V78" s="80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80"/>
      <c r="AU78" s="80"/>
      <c r="AV78" s="82">
        <v>600000</v>
      </c>
      <c r="CB78" s="89">
        <v>600000</v>
      </c>
      <c r="CC78" s="87"/>
      <c r="CD78" s="87"/>
      <c r="CE78" s="87"/>
      <c r="CF78" s="87"/>
      <c r="CG78" s="87"/>
      <c r="CH78" s="89"/>
      <c r="CI78" s="89"/>
      <c r="CJ78" s="87"/>
      <c r="CK78" s="87"/>
      <c r="CL78" s="87"/>
      <c r="CM78" s="87"/>
      <c r="CN78" s="87"/>
      <c r="CO78" s="89"/>
      <c r="CP78" s="89"/>
      <c r="CQ78" s="87"/>
      <c r="CR78" s="87"/>
      <c r="CS78" s="87"/>
      <c r="CT78" s="87"/>
      <c r="CU78" s="87"/>
      <c r="CV78" s="89"/>
      <c r="CW78" s="89"/>
      <c r="CX78" s="87"/>
      <c r="CY78" s="87"/>
      <c r="CZ78" s="87"/>
      <c r="DA78" s="87"/>
      <c r="DB78" s="87"/>
      <c r="DC78" s="89"/>
      <c r="DD78" s="89"/>
      <c r="DE78" s="87"/>
      <c r="DF78" s="87"/>
      <c r="DG78" s="89">
        <v>600000</v>
      </c>
      <c r="DH78" s="87"/>
      <c r="DI78" s="87"/>
      <c r="DJ78" s="87"/>
      <c r="DK78" s="87"/>
      <c r="DL78" s="87"/>
      <c r="DM78" s="87"/>
      <c r="DN78" s="87"/>
      <c r="DO78" s="87"/>
      <c r="DP78" s="87"/>
      <c r="DQ78" s="87"/>
      <c r="DR78" s="87"/>
      <c r="DS78" s="87"/>
      <c r="DT78" s="87"/>
      <c r="DU78" s="87"/>
      <c r="DV78" s="87"/>
      <c r="DW78" s="87"/>
      <c r="DX78" s="87"/>
      <c r="DY78" s="87"/>
      <c r="DZ78" s="87"/>
      <c r="EA78" s="87"/>
      <c r="EB78" s="87"/>
      <c r="EC78" s="87"/>
      <c r="ED78" s="87"/>
      <c r="EE78" s="87"/>
      <c r="EF78" s="87"/>
      <c r="EG78" s="87"/>
      <c r="EH78" s="87"/>
      <c r="EI78" s="87"/>
      <c r="EJ78" s="87"/>
      <c r="EK78" s="87"/>
      <c r="EL78" s="87"/>
      <c r="EM78" s="89">
        <v>600000</v>
      </c>
      <c r="EO78" s="42">
        <f>P78+Q78+AV78+CB78+DG78+EM78</f>
        <v>2400000</v>
      </c>
      <c r="EP78" s="70">
        <v>2400000</v>
      </c>
      <c r="EQ78" s="13">
        <f>EO78-EP78</f>
        <v>0</v>
      </c>
      <c r="ER78" s="13"/>
      <c r="ES78" s="8"/>
      <c r="ET78" s="13"/>
      <c r="EU78" s="13"/>
      <c r="EV78" s="13"/>
      <c r="EW78" s="13"/>
      <c r="EX78" s="13"/>
      <c r="EY78" s="13"/>
      <c r="FG78" s="219" t="s">
        <v>135</v>
      </c>
      <c r="FH78" s="24">
        <f>チーム別PreSales!E7</f>
        <v>34450540.149999999</v>
      </c>
      <c r="FI78" s="24">
        <v>11213804.73398</v>
      </c>
      <c r="FJ78" s="201"/>
    </row>
    <row r="79" spans="1:167" ht="21" customHeight="1" x14ac:dyDescent="0.55000000000000004">
      <c r="A79" s="33" t="s">
        <v>260</v>
      </c>
      <c r="B79" s="1" t="s">
        <v>340</v>
      </c>
      <c r="C79" s="181" t="s">
        <v>341</v>
      </c>
      <c r="D79" s="41" t="s">
        <v>108</v>
      </c>
      <c r="E79" s="77" t="s">
        <v>342</v>
      </c>
      <c r="F79" s="80" t="s">
        <v>281</v>
      </c>
      <c r="G79" s="74" t="s">
        <v>175</v>
      </c>
      <c r="I79" s="43"/>
      <c r="J79" s="43"/>
      <c r="K79" s="43"/>
      <c r="L79" s="43"/>
      <c r="M79" s="43"/>
      <c r="N79" s="184"/>
      <c r="O79" s="87"/>
      <c r="P79" s="82">
        <v>0</v>
      </c>
      <c r="Q79" s="82">
        <v>0</v>
      </c>
      <c r="R79" s="80"/>
      <c r="S79" s="80"/>
      <c r="T79" s="80"/>
      <c r="U79" s="80"/>
      <c r="V79" s="80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80"/>
      <c r="AU79" s="80"/>
      <c r="AV79" s="82">
        <v>0</v>
      </c>
      <c r="CB79" s="194">
        <v>1300000</v>
      </c>
      <c r="CC79" s="194">
        <v>2100000</v>
      </c>
      <c r="CD79" s="194">
        <v>1950000</v>
      </c>
      <c r="CE79" s="194"/>
      <c r="CF79" s="194"/>
      <c r="CG79" s="194"/>
      <c r="CH79" s="267"/>
      <c r="CI79" s="267"/>
      <c r="CJ79" s="194"/>
      <c r="CK79" s="194"/>
      <c r="CL79" s="194"/>
      <c r="CM79" s="194"/>
      <c r="CN79" s="194"/>
      <c r="CO79" s="267"/>
      <c r="CP79" s="267"/>
      <c r="CQ79" s="194"/>
      <c r="CR79" s="194"/>
      <c r="CS79" s="194"/>
      <c r="CT79" s="194"/>
      <c r="CU79" s="194"/>
      <c r="CV79" s="267"/>
      <c r="CW79" s="267"/>
      <c r="CX79" s="194"/>
      <c r="CY79" s="194"/>
      <c r="CZ79" s="194"/>
      <c r="DA79" s="194"/>
      <c r="DB79" s="194"/>
      <c r="DC79" s="267"/>
      <c r="DD79" s="267"/>
      <c r="DE79" s="194"/>
      <c r="DF79" s="194"/>
      <c r="DG79" s="194">
        <f>6650000/5*2</f>
        <v>2660000</v>
      </c>
      <c r="DH79" s="194"/>
      <c r="DI79" s="194"/>
      <c r="DJ79" s="194"/>
      <c r="DK79" s="194"/>
      <c r="DL79" s="194"/>
      <c r="DM79" s="194"/>
      <c r="DN79" s="194"/>
      <c r="DO79" s="194"/>
      <c r="DP79" s="194"/>
      <c r="DQ79" s="194"/>
      <c r="DR79" s="194"/>
      <c r="DS79" s="194"/>
      <c r="DT79" s="194"/>
      <c r="DU79" s="194"/>
      <c r="DV79" s="194"/>
      <c r="DW79" s="194"/>
      <c r="DX79" s="194"/>
      <c r="DY79" s="194"/>
      <c r="DZ79" s="194"/>
      <c r="EA79" s="194"/>
      <c r="EB79" s="194"/>
      <c r="EC79" s="194"/>
      <c r="ED79" s="194"/>
      <c r="EE79" s="194"/>
      <c r="EF79" s="194"/>
      <c r="EG79" s="194"/>
      <c r="EH79" s="194"/>
      <c r="EI79" s="194"/>
      <c r="EJ79" s="194"/>
      <c r="EK79" s="194"/>
      <c r="EL79" s="194"/>
      <c r="EM79" s="194">
        <f>6650000/5*2</f>
        <v>2660000</v>
      </c>
      <c r="EO79" s="42">
        <f>P79+Q79+AV79+CB79+DG79+EM79</f>
        <v>6620000</v>
      </c>
      <c r="EP79" s="70">
        <v>0</v>
      </c>
      <c r="EQ79" s="13">
        <f>EO79-EP79</f>
        <v>6620000</v>
      </c>
      <c r="ER79" s="13"/>
      <c r="ES79" s="8"/>
      <c r="ET79" s="13"/>
      <c r="EU79" s="13"/>
      <c r="EV79" s="13"/>
      <c r="EW79" s="13"/>
      <c r="EX79" s="13"/>
      <c r="EY79" s="13"/>
      <c r="FJ79" s="111"/>
    </row>
    <row r="80" spans="1:167" ht="21" x14ac:dyDescent="0.55000000000000004">
      <c r="A80" s="33" t="s">
        <v>260</v>
      </c>
      <c r="B80" s="1" t="s">
        <v>343</v>
      </c>
      <c r="C80" s="181" t="s">
        <v>343</v>
      </c>
      <c r="D80" s="41" t="s">
        <v>108</v>
      </c>
      <c r="E80" s="6" t="s">
        <v>344</v>
      </c>
      <c r="G80" s="1" t="s">
        <v>186</v>
      </c>
      <c r="N80" s="188"/>
      <c r="O80" s="25"/>
      <c r="P80" s="25"/>
      <c r="Q80" s="25"/>
      <c r="AV80" s="263"/>
      <c r="AX80" s="43"/>
      <c r="AY80" s="43"/>
      <c r="AZ80" s="74"/>
      <c r="BA80" s="74"/>
      <c r="BB80" s="43"/>
      <c r="BC80" s="43"/>
      <c r="BD80" s="43"/>
      <c r="BE80" s="43"/>
      <c r="BF80" s="43"/>
      <c r="BG80" s="74"/>
      <c r="BH80" s="74"/>
      <c r="BI80" s="43"/>
      <c r="BJ80" s="43"/>
      <c r="BK80" s="43"/>
      <c r="BL80" s="43"/>
      <c r="BM80" s="43"/>
      <c r="BN80" s="74"/>
      <c r="BO80" s="74"/>
      <c r="BP80" s="43"/>
      <c r="BQ80" s="43"/>
      <c r="BR80" s="43"/>
      <c r="BS80" s="43"/>
      <c r="BT80" s="43"/>
      <c r="BU80" s="74"/>
      <c r="BV80" s="74"/>
      <c r="BW80" s="43"/>
      <c r="BX80" s="43"/>
      <c r="BY80" s="43"/>
      <c r="BZ80" s="43"/>
      <c r="CA80" s="43"/>
      <c r="CB80" s="96"/>
      <c r="CC80" s="91"/>
      <c r="CD80" s="91"/>
      <c r="CE80" s="91"/>
      <c r="CF80" s="91"/>
      <c r="CG80" s="91"/>
      <c r="CH80" s="92"/>
      <c r="CI80" s="92"/>
      <c r="CJ80" s="91"/>
      <c r="CK80" s="91"/>
      <c r="CL80" s="91"/>
      <c r="CM80" s="91"/>
      <c r="CN80" s="91"/>
      <c r="CO80" s="92"/>
      <c r="CP80" s="92"/>
      <c r="CQ80" s="91"/>
      <c r="CR80" s="91"/>
      <c r="CS80" s="91"/>
      <c r="CT80" s="91"/>
      <c r="CU80" s="91"/>
      <c r="CV80" s="92"/>
      <c r="CW80" s="92"/>
      <c r="CX80" s="91"/>
      <c r="CY80" s="91"/>
      <c r="CZ80" s="91"/>
      <c r="DA80" s="91"/>
      <c r="DB80" s="91"/>
      <c r="DC80" s="92"/>
      <c r="DD80" s="92"/>
      <c r="DE80" s="91"/>
      <c r="DF80" s="91"/>
      <c r="DG80" s="25"/>
      <c r="EM80" s="25"/>
      <c r="EO80" s="25"/>
      <c r="EY80" s="13"/>
      <c r="FG80" s="219" t="s">
        <v>143</v>
      </c>
      <c r="FH80" s="24">
        <f ca="1">FH76+FH78</f>
        <v>468513557.43356502</v>
      </c>
      <c r="FI80" s="24">
        <f>FI76+FI78</f>
        <v>478049575.98398</v>
      </c>
    </row>
    <row r="81" spans="1:166" ht="21" x14ac:dyDescent="0.55000000000000004">
      <c r="A81" s="33" t="s">
        <v>260</v>
      </c>
      <c r="B81" s="1" t="s">
        <v>345</v>
      </c>
      <c r="C81" s="181" t="s">
        <v>345</v>
      </c>
      <c r="D81" s="41" t="s">
        <v>108</v>
      </c>
      <c r="E81" s="6" t="s">
        <v>346</v>
      </c>
      <c r="G81" s="1" t="s">
        <v>186</v>
      </c>
      <c r="O81" s="25"/>
      <c r="P81" s="25"/>
      <c r="Q81" s="25"/>
      <c r="AV81" s="263"/>
      <c r="AX81" s="43"/>
      <c r="AY81" s="43"/>
      <c r="AZ81" s="74"/>
      <c r="BA81" s="74"/>
      <c r="BB81" s="43"/>
      <c r="BC81" s="43"/>
      <c r="BD81" s="43"/>
      <c r="BE81" s="43"/>
      <c r="BF81" s="43"/>
      <c r="BG81" s="74"/>
      <c r="BH81" s="74"/>
      <c r="BI81" s="43"/>
      <c r="BJ81" s="43"/>
      <c r="BK81" s="43"/>
      <c r="BL81" s="43"/>
      <c r="BM81" s="43"/>
      <c r="BN81" s="74"/>
      <c r="BO81" s="74"/>
      <c r="BP81" s="43"/>
      <c r="BQ81" s="43"/>
      <c r="BR81" s="43"/>
      <c r="BS81" s="43"/>
      <c r="BT81" s="43"/>
      <c r="BU81" s="74"/>
      <c r="BV81" s="74"/>
      <c r="BW81" s="43"/>
      <c r="BX81" s="43"/>
      <c r="BY81" s="43"/>
      <c r="BZ81" s="43"/>
      <c r="CA81" s="43"/>
      <c r="CB81" s="96"/>
      <c r="CC81" s="91"/>
      <c r="CD81" s="91"/>
      <c r="CE81" s="91"/>
      <c r="CF81" s="91"/>
      <c r="CG81" s="91"/>
      <c r="CH81" s="92"/>
      <c r="CI81" s="92"/>
      <c r="CJ81" s="91"/>
      <c r="CK81" s="91"/>
      <c r="CL81" s="91"/>
      <c r="CM81" s="91"/>
      <c r="CN81" s="91"/>
      <c r="CO81" s="92"/>
      <c r="CP81" s="92"/>
      <c r="CQ81" s="91"/>
      <c r="CR81" s="91"/>
      <c r="CS81" s="91"/>
      <c r="CT81" s="91"/>
      <c r="CU81" s="91"/>
      <c r="CV81" s="92"/>
      <c r="CW81" s="92"/>
      <c r="CX81" s="91"/>
      <c r="CY81" s="91"/>
      <c r="CZ81" s="91"/>
      <c r="DA81" s="91"/>
      <c r="DB81" s="91"/>
      <c r="DC81" s="92"/>
      <c r="DD81" s="92"/>
      <c r="DE81" s="91"/>
      <c r="DF81" s="91"/>
      <c r="DG81" s="25"/>
      <c r="EM81" s="25"/>
      <c r="EO81" s="25"/>
      <c r="EY81" s="13"/>
      <c r="FJ81" s="24">
        <v>400000000</v>
      </c>
    </row>
    <row r="82" spans="1:166" ht="20.25" customHeight="1" x14ac:dyDescent="0.55000000000000004">
      <c r="A82" s="32" t="s">
        <v>157</v>
      </c>
      <c r="B82" s="1" t="s">
        <v>347</v>
      </c>
      <c r="C82" s="1" t="s">
        <v>347</v>
      </c>
      <c r="D82" s="41" t="s">
        <v>108</v>
      </c>
      <c r="E82" s="6" t="s">
        <v>348</v>
      </c>
      <c r="G82" s="1" t="s">
        <v>349</v>
      </c>
      <c r="AV82" s="264"/>
      <c r="AX82" s="43"/>
      <c r="AY82" s="43"/>
      <c r="AZ82" s="74"/>
      <c r="BA82" s="74"/>
      <c r="BB82" s="43"/>
      <c r="BC82" s="43"/>
      <c r="BD82" s="43"/>
      <c r="BE82" s="43"/>
      <c r="BF82" s="43"/>
      <c r="BG82" s="74"/>
      <c r="BH82" s="74"/>
      <c r="BI82" s="43"/>
      <c r="BJ82" s="43"/>
      <c r="BK82" s="43"/>
      <c r="BL82" s="43"/>
      <c r="BM82" s="43"/>
      <c r="BN82" s="74"/>
      <c r="BO82" s="74"/>
      <c r="BP82" s="43"/>
      <c r="BQ82" s="43"/>
      <c r="BR82" s="43"/>
      <c r="BS82" s="43"/>
      <c r="BT82" s="43"/>
      <c r="BU82" s="74"/>
      <c r="BV82" s="74"/>
      <c r="BW82" s="43"/>
      <c r="BX82" s="43"/>
      <c r="BY82" s="43"/>
      <c r="BZ82" s="43"/>
      <c r="CA82" s="43"/>
      <c r="CB82" s="96"/>
      <c r="CC82" s="91"/>
      <c r="CD82" s="91"/>
      <c r="CE82" s="91"/>
      <c r="CF82" s="91"/>
      <c r="CG82" s="91"/>
      <c r="CH82" s="92"/>
      <c r="CI82" s="92"/>
      <c r="CJ82" s="91"/>
      <c r="CK82" s="91"/>
      <c r="CL82" s="91"/>
      <c r="CM82" s="91"/>
      <c r="CN82" s="91"/>
      <c r="CO82" s="92"/>
      <c r="CP82" s="92"/>
      <c r="CQ82" s="91"/>
      <c r="CR82" s="91"/>
      <c r="CS82" s="91"/>
      <c r="CT82" s="91"/>
      <c r="CU82" s="91"/>
      <c r="CV82" s="92"/>
      <c r="CW82" s="92"/>
      <c r="CX82" s="91"/>
      <c r="CY82" s="91"/>
      <c r="CZ82" s="91"/>
      <c r="DA82" s="91"/>
      <c r="DB82" s="91"/>
      <c r="DC82" s="92"/>
      <c r="DD82" s="92"/>
      <c r="DE82" s="91"/>
      <c r="DF82" s="91"/>
    </row>
    <row r="83" spans="1:166" ht="20.25" customHeight="1" x14ac:dyDescent="0.55000000000000004">
      <c r="A83" s="28" t="s">
        <v>207</v>
      </c>
      <c r="B83" s="1" t="s">
        <v>350</v>
      </c>
      <c r="C83" s="1" t="s">
        <v>350</v>
      </c>
      <c r="D83" s="41" t="s">
        <v>108</v>
      </c>
      <c r="E83" s="6" t="s">
        <v>348</v>
      </c>
      <c r="G83" s="1" t="s">
        <v>349</v>
      </c>
      <c r="AV83" s="264"/>
      <c r="AX83" s="43"/>
      <c r="AY83" s="43"/>
      <c r="AZ83" s="74"/>
      <c r="BA83" s="74"/>
      <c r="BB83" s="43"/>
      <c r="BC83" s="43"/>
      <c r="BD83" s="43"/>
      <c r="BE83" s="43"/>
      <c r="BF83" s="43"/>
      <c r="BG83" s="74"/>
      <c r="BH83" s="74"/>
      <c r="BI83" s="43"/>
      <c r="BJ83" s="43"/>
      <c r="BK83" s="43"/>
      <c r="BL83" s="43"/>
      <c r="BM83" s="43"/>
      <c r="BN83" s="74"/>
      <c r="BO83" s="74"/>
      <c r="BP83" s="43"/>
      <c r="BQ83" s="43"/>
      <c r="BR83" s="43"/>
      <c r="BS83" s="43"/>
      <c r="BT83" s="43"/>
      <c r="BU83" s="74"/>
      <c r="BV83" s="74"/>
      <c r="BW83" s="43"/>
      <c r="BX83" s="43"/>
      <c r="BY83" s="43"/>
      <c r="BZ83" s="43"/>
      <c r="CA83" s="43"/>
      <c r="CB83" s="96"/>
      <c r="CC83" s="91"/>
      <c r="CD83" s="91"/>
      <c r="CE83" s="91"/>
      <c r="CF83" s="91"/>
      <c r="CG83" s="91"/>
      <c r="CH83" s="92"/>
      <c r="CI83" s="92"/>
      <c r="CJ83" s="91"/>
      <c r="CK83" s="91"/>
      <c r="CL83" s="91"/>
      <c r="CM83" s="91"/>
      <c r="CN83" s="91"/>
      <c r="CO83" s="92"/>
      <c r="CP83" s="92"/>
      <c r="CQ83" s="91"/>
      <c r="CR83" s="91"/>
      <c r="CS83" s="91"/>
      <c r="CT83" s="91"/>
      <c r="CU83" s="91"/>
      <c r="CV83" s="92"/>
      <c r="CW83" s="92"/>
      <c r="CX83" s="91"/>
      <c r="CY83" s="91"/>
      <c r="CZ83" s="91"/>
      <c r="DA83" s="91"/>
      <c r="DB83" s="91"/>
      <c r="DC83" s="92"/>
      <c r="DD83" s="92"/>
      <c r="DE83" s="91"/>
      <c r="DF83" s="91"/>
    </row>
    <row r="84" spans="1:166" ht="20.25" customHeight="1" x14ac:dyDescent="0.55000000000000004">
      <c r="A84" s="33" t="s">
        <v>260</v>
      </c>
      <c r="B84" s="1" t="s">
        <v>351</v>
      </c>
      <c r="C84" s="1" t="s">
        <v>351</v>
      </c>
      <c r="D84" s="1" t="s">
        <v>108</v>
      </c>
      <c r="E84" s="6"/>
      <c r="G84" s="1" t="s">
        <v>349</v>
      </c>
      <c r="AV84" s="264"/>
      <c r="AX84" s="43"/>
      <c r="AY84" s="43"/>
      <c r="AZ84" s="74"/>
      <c r="BA84" s="74"/>
      <c r="BB84" s="43"/>
      <c r="BC84" s="43"/>
      <c r="BD84" s="43"/>
      <c r="BE84" s="43"/>
      <c r="BF84" s="43"/>
      <c r="BG84" s="74"/>
      <c r="BH84" s="74"/>
      <c r="BI84" s="43"/>
      <c r="BJ84" s="43"/>
      <c r="BK84" s="43"/>
      <c r="BL84" s="43"/>
      <c r="BM84" s="43"/>
      <c r="BN84" s="74"/>
      <c r="BO84" s="74"/>
      <c r="BP84" s="43"/>
      <c r="BQ84" s="43"/>
      <c r="BR84" s="43"/>
      <c r="BS84" s="43"/>
      <c r="BT84" s="43"/>
      <c r="BU84" s="74"/>
      <c r="BV84" s="74"/>
      <c r="BW84" s="43"/>
      <c r="BX84" s="43"/>
      <c r="BY84" s="43"/>
      <c r="BZ84" s="43"/>
      <c r="CA84" s="43"/>
      <c r="CB84" s="96"/>
      <c r="CC84" s="91"/>
      <c r="CD84" s="91"/>
      <c r="CE84" s="91"/>
      <c r="CF84" s="91"/>
      <c r="CG84" s="91"/>
      <c r="CH84" s="92"/>
      <c r="CI84" s="92"/>
      <c r="CJ84" s="91"/>
      <c r="CK84" s="91"/>
      <c r="CL84" s="91"/>
      <c r="CM84" s="91"/>
      <c r="CN84" s="91"/>
      <c r="CO84" s="92"/>
      <c r="CP84" s="92"/>
      <c r="CQ84" s="91"/>
      <c r="CR84" s="91"/>
      <c r="CS84" s="91"/>
      <c r="CT84" s="91"/>
      <c r="CU84" s="91"/>
      <c r="CV84" s="92"/>
      <c r="CW84" s="92"/>
      <c r="CX84" s="91"/>
      <c r="CY84" s="91"/>
      <c r="CZ84" s="91"/>
      <c r="DA84" s="91"/>
      <c r="DB84" s="91"/>
      <c r="DC84" s="92"/>
      <c r="DD84" s="92"/>
      <c r="DE84" s="91"/>
      <c r="DF84" s="91"/>
    </row>
    <row r="85" spans="1:166" ht="20.25" customHeight="1" x14ac:dyDescent="0.55000000000000004">
      <c r="A85" s="33" t="s">
        <v>260</v>
      </c>
      <c r="B85" s="1" t="s">
        <v>352</v>
      </c>
      <c r="C85" s="1" t="s">
        <v>352</v>
      </c>
      <c r="D85" s="1" t="s">
        <v>108</v>
      </c>
      <c r="E85" s="6" t="s">
        <v>353</v>
      </c>
      <c r="G85" s="1" t="s">
        <v>349</v>
      </c>
      <c r="AV85" s="264"/>
      <c r="AX85" s="43"/>
      <c r="AY85" s="43"/>
      <c r="AZ85" s="74"/>
      <c r="BA85" s="74"/>
      <c r="BB85" s="43"/>
      <c r="BC85" s="43"/>
      <c r="BD85" s="43"/>
      <c r="BE85" s="43"/>
      <c r="BF85" s="43"/>
      <c r="BG85" s="74"/>
      <c r="BH85" s="74"/>
      <c r="BI85" s="43"/>
      <c r="BJ85" s="43"/>
      <c r="BK85" s="43"/>
      <c r="BL85" s="43"/>
      <c r="BM85" s="43"/>
      <c r="BN85" s="74"/>
      <c r="BO85" s="74"/>
      <c r="BP85" s="43"/>
      <c r="BQ85" s="43"/>
      <c r="BR85" s="43"/>
      <c r="BS85" s="43"/>
      <c r="BT85" s="43"/>
      <c r="BU85" s="74"/>
      <c r="BV85" s="74"/>
      <c r="BW85" s="43"/>
      <c r="BX85" s="43"/>
      <c r="BY85" s="43"/>
      <c r="BZ85" s="43"/>
      <c r="CA85" s="43"/>
      <c r="CB85" s="96"/>
      <c r="CC85" s="91"/>
      <c r="CD85" s="91"/>
      <c r="CE85" s="91"/>
      <c r="CF85" s="91"/>
      <c r="CG85" s="91"/>
      <c r="CH85" s="92"/>
      <c r="CI85" s="92"/>
      <c r="CJ85" s="91"/>
      <c r="CK85" s="91"/>
      <c r="CL85" s="91"/>
      <c r="CM85" s="91"/>
      <c r="CN85" s="91"/>
      <c r="CO85" s="92"/>
      <c r="CP85" s="92"/>
      <c r="CQ85" s="91"/>
      <c r="CR85" s="91"/>
      <c r="CS85" s="91"/>
      <c r="CT85" s="91"/>
      <c r="CU85" s="91"/>
      <c r="CV85" s="92"/>
      <c r="CW85" s="92"/>
      <c r="CX85" s="91"/>
      <c r="CY85" s="91"/>
      <c r="CZ85" s="91"/>
      <c r="DA85" s="91"/>
      <c r="DB85" s="91"/>
      <c r="DC85" s="92"/>
      <c r="DD85" s="92"/>
      <c r="DE85" s="91"/>
      <c r="DF85" s="91"/>
    </row>
    <row r="86" spans="1:166" ht="20.25" customHeight="1" x14ac:dyDescent="0.55000000000000004">
      <c r="A86" s="33" t="s">
        <v>260</v>
      </c>
      <c r="B86" s="1" t="s">
        <v>354</v>
      </c>
      <c r="C86" s="5" t="s">
        <v>355</v>
      </c>
      <c r="D86" s="1" t="s">
        <v>108</v>
      </c>
      <c r="E86" s="6" t="s">
        <v>356</v>
      </c>
      <c r="G86" s="1" t="s">
        <v>349</v>
      </c>
      <c r="AV86" s="264"/>
      <c r="AX86" s="43"/>
      <c r="AY86" s="43"/>
      <c r="AZ86" s="74"/>
      <c r="BA86" s="74"/>
      <c r="BB86" s="43"/>
      <c r="BC86" s="43"/>
      <c r="BD86" s="43"/>
      <c r="BE86" s="43"/>
      <c r="BF86" s="43"/>
      <c r="BG86" s="74"/>
      <c r="BH86" s="74"/>
      <c r="BI86" s="43"/>
      <c r="BJ86" s="43"/>
      <c r="BK86" s="43"/>
      <c r="BL86" s="43"/>
      <c r="BM86" s="43"/>
      <c r="BN86" s="74"/>
      <c r="BO86" s="74"/>
      <c r="BP86" s="43"/>
      <c r="BQ86" s="43"/>
      <c r="BR86" s="43"/>
      <c r="BS86" s="43"/>
      <c r="BT86" s="43"/>
      <c r="BU86" s="74"/>
      <c r="BV86" s="74"/>
      <c r="BW86" s="43"/>
      <c r="BX86" s="43"/>
      <c r="BY86" s="43"/>
      <c r="BZ86" s="43"/>
      <c r="CA86" s="43"/>
      <c r="CB86" s="96"/>
      <c r="CC86" s="91"/>
      <c r="CD86" s="91"/>
      <c r="CE86" s="91"/>
      <c r="CF86" s="91"/>
      <c r="CG86" s="91"/>
      <c r="CH86" s="92"/>
      <c r="CI86" s="92"/>
      <c r="CJ86" s="91"/>
      <c r="CK86" s="91"/>
      <c r="CL86" s="91"/>
      <c r="CM86" s="91"/>
      <c r="CN86" s="91"/>
      <c r="CO86" s="92"/>
      <c r="CP86" s="92"/>
      <c r="CQ86" s="91"/>
      <c r="CR86" s="91"/>
      <c r="CS86" s="91"/>
      <c r="CT86" s="91"/>
      <c r="CU86" s="91"/>
      <c r="CV86" s="92"/>
      <c r="CW86" s="92"/>
      <c r="CX86" s="91"/>
      <c r="CY86" s="91"/>
      <c r="CZ86" s="91"/>
      <c r="DA86" s="91"/>
      <c r="DB86" s="91"/>
      <c r="DC86" s="92"/>
      <c r="DD86" s="92"/>
      <c r="DE86" s="91"/>
      <c r="DF86" s="91"/>
    </row>
    <row r="87" spans="1:166" ht="20.25" customHeight="1" x14ac:dyDescent="0.55000000000000004">
      <c r="A87" s="33" t="s">
        <v>260</v>
      </c>
      <c r="B87" s="1" t="s">
        <v>357</v>
      </c>
      <c r="C87" s="5" t="s">
        <v>355</v>
      </c>
      <c r="D87" s="1" t="s">
        <v>108</v>
      </c>
      <c r="E87" s="6" t="s">
        <v>356</v>
      </c>
      <c r="G87" s="1" t="s">
        <v>349</v>
      </c>
      <c r="AV87" s="265"/>
      <c r="AX87" s="43"/>
      <c r="AY87" s="43"/>
      <c r="AZ87" s="74"/>
      <c r="BA87" s="74"/>
      <c r="BB87" s="43"/>
      <c r="BC87" s="43"/>
      <c r="BD87" s="43"/>
      <c r="BE87" s="43"/>
      <c r="BF87" s="43"/>
      <c r="BG87" s="74"/>
      <c r="BH87" s="74"/>
      <c r="BI87" s="43"/>
      <c r="BJ87" s="43"/>
      <c r="BK87" s="43"/>
      <c r="BL87" s="43"/>
      <c r="BM87" s="43"/>
      <c r="BN87" s="74"/>
      <c r="BO87" s="74"/>
      <c r="BP87" s="43"/>
      <c r="BQ87" s="43"/>
      <c r="BR87" s="43"/>
      <c r="BS87" s="43"/>
      <c r="BT87" s="43"/>
      <c r="BU87" s="74"/>
      <c r="BV87" s="74"/>
      <c r="BW87" s="43"/>
      <c r="BX87" s="43"/>
      <c r="BY87" s="43"/>
      <c r="BZ87" s="43"/>
      <c r="CA87" s="43"/>
      <c r="CB87" s="96"/>
      <c r="CC87" s="91"/>
      <c r="CD87" s="91"/>
      <c r="CE87" s="91"/>
      <c r="CF87" s="91"/>
      <c r="CG87" s="91"/>
      <c r="CH87" s="92"/>
      <c r="CI87" s="92"/>
      <c r="CJ87" s="91"/>
      <c r="CK87" s="91"/>
      <c r="CL87" s="91"/>
      <c r="CM87" s="91"/>
      <c r="CN87" s="91"/>
      <c r="CO87" s="92"/>
      <c r="CP87" s="92"/>
      <c r="CQ87" s="91"/>
      <c r="CR87" s="91"/>
      <c r="CS87" s="91"/>
      <c r="CT87" s="91"/>
      <c r="CU87" s="91"/>
      <c r="CV87" s="92"/>
      <c r="CW87" s="92"/>
      <c r="CX87" s="91"/>
      <c r="CY87" s="91"/>
      <c r="CZ87" s="91"/>
      <c r="DA87" s="91"/>
      <c r="DB87" s="91"/>
      <c r="DC87" s="92"/>
      <c r="DD87" s="92"/>
      <c r="DE87" s="91"/>
      <c r="DF87" s="91"/>
    </row>
  </sheetData>
  <autoFilter ref="A1:FB87" xr:uid="{00000000-0001-0000-0000-000000000000}"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sortState xmlns:xlrd2="http://schemas.microsoft.com/office/spreadsheetml/2017/richdata2" ref="A2:EO68">
    <sortCondition ref="A5:A68"/>
  </sortState>
  <mergeCells count="2">
    <mergeCell ref="R1:AV1"/>
    <mergeCell ref="AW1:CB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D94B-F4F8-4691-A9CD-06E66EC4CA1E}">
  <dimension ref="A1:AT84"/>
  <sheetViews>
    <sheetView topLeftCell="F10" zoomScale="70" zoomScaleNormal="70" workbookViewId="0">
      <selection activeCell="F17" sqref="F17"/>
    </sheetView>
  </sheetViews>
  <sheetFormatPr defaultColWidth="9" defaultRowHeight="20.25" customHeight="1" outlineLevelRow="1" x14ac:dyDescent="0.55000000000000004"/>
  <cols>
    <col min="1" max="1" width="10.58203125" style="1" bestFit="1" customWidth="1"/>
    <col min="2" max="2" width="23.25" style="1" customWidth="1"/>
    <col min="3" max="3" width="35.75" style="1" customWidth="1"/>
    <col min="4" max="4" width="5.75" style="1" customWidth="1"/>
    <col min="5" max="5" width="66.25" style="5" customWidth="1"/>
    <col min="6" max="6" width="14.75" style="5" customWidth="1"/>
    <col min="7" max="7" width="5.08203125" style="1" customWidth="1"/>
    <col min="8" max="8" width="7.75" style="203" customWidth="1"/>
    <col min="9" max="9" width="12" style="11" customWidth="1" collapsed="1"/>
    <col min="10" max="23" width="13.25" style="10" customWidth="1"/>
    <col min="24" max="24" width="15.83203125" style="11" customWidth="1"/>
    <col min="25" max="25" width="17.75" style="1" customWidth="1"/>
    <col min="26" max="26" width="19.5" style="1" customWidth="1"/>
    <col min="27" max="27" width="15.33203125" style="12" customWidth="1"/>
    <col min="28" max="28" width="2.33203125" style="12" customWidth="1"/>
    <col min="29" max="29" width="14.83203125" style="1" customWidth="1"/>
    <col min="30" max="30" width="2.25" style="2" customWidth="1"/>
    <col min="31" max="31" width="2.25" style="1" customWidth="1"/>
    <col min="32" max="32" width="15.33203125" style="1" customWidth="1"/>
    <col min="33" max="33" width="7.75" style="1" customWidth="1"/>
    <col min="34" max="34" width="13.25" style="3" customWidth="1"/>
    <col min="35" max="35" width="17.83203125" style="1" customWidth="1"/>
    <col min="36" max="36" width="15.33203125" style="1" customWidth="1"/>
    <col min="37" max="37" width="15.75" style="1" customWidth="1"/>
    <col min="38" max="38" width="4.08203125" style="1" customWidth="1"/>
    <col min="39" max="39" width="11" style="1" customWidth="1"/>
    <col min="40" max="40" width="9" style="1"/>
    <col min="41" max="41" width="23.83203125" style="1" customWidth="1"/>
    <col min="42" max="42" width="50.5" style="1" customWidth="1"/>
    <col min="43" max="43" width="19.5" style="1" customWidth="1"/>
    <col min="44" max="44" width="18.08203125" style="1" customWidth="1"/>
    <col min="45" max="45" width="17.25" style="1" customWidth="1"/>
    <col min="46" max="46" width="9" style="1"/>
    <col min="47" max="47" width="12.75" style="1" bestFit="1" customWidth="1"/>
    <col min="48" max="16384" width="9" style="1"/>
  </cols>
  <sheetData>
    <row r="1" spans="1:46" ht="18.75" customHeight="1" x14ac:dyDescent="0.55000000000000004">
      <c r="A1" s="1" t="s">
        <v>32</v>
      </c>
      <c r="B1" s="1" t="s">
        <v>33</v>
      </c>
      <c r="C1" s="1" t="s">
        <v>34</v>
      </c>
      <c r="E1" s="1" t="s">
        <v>35</v>
      </c>
      <c r="F1" s="1" t="s">
        <v>36</v>
      </c>
      <c r="G1" s="1" t="s">
        <v>37</v>
      </c>
      <c r="H1" s="203" t="s">
        <v>38</v>
      </c>
      <c r="I1" s="203"/>
      <c r="J1" s="1" t="s">
        <v>50</v>
      </c>
      <c r="K1" s="1" t="s">
        <v>51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358</v>
      </c>
      <c r="S1" s="1" t="s">
        <v>359</v>
      </c>
      <c r="T1" s="1" t="s">
        <v>360</v>
      </c>
      <c r="U1" s="185" t="s">
        <v>361</v>
      </c>
      <c r="V1" s="1" t="s">
        <v>362</v>
      </c>
      <c r="W1" s="1" t="s">
        <v>363</v>
      </c>
      <c r="X1" s="245"/>
      <c r="Y1" s="246" t="s">
        <v>26</v>
      </c>
      <c r="Z1" s="246" t="s">
        <v>53</v>
      </c>
      <c r="AA1" s="247" t="s">
        <v>54</v>
      </c>
      <c r="AB1" s="13"/>
      <c r="AM1" s="14" t="s">
        <v>56</v>
      </c>
      <c r="AN1"/>
      <c r="AO1"/>
      <c r="AP1"/>
      <c r="AQ1"/>
      <c r="AR1"/>
      <c r="AS1"/>
    </row>
    <row r="2" spans="1:46" ht="21" customHeight="1" x14ac:dyDescent="0.55000000000000004">
      <c r="E2" s="45"/>
      <c r="F2" s="7"/>
      <c r="I2" s="102">
        <v>67657800</v>
      </c>
      <c r="J2" s="102">
        <v>60518100</v>
      </c>
      <c r="K2" s="102">
        <v>58018250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248" t="s">
        <v>57</v>
      </c>
      <c r="Y2" s="244" t="e">
        <f>AI78</f>
        <v>#REF!</v>
      </c>
      <c r="Z2" s="244">
        <v>478049575.98398</v>
      </c>
      <c r="AA2" s="249" t="e">
        <f>Y2/Z2</f>
        <v>#REF!</v>
      </c>
      <c r="AB2" s="13"/>
      <c r="AF2" s="9" t="s">
        <v>59</v>
      </c>
      <c r="AG2" s="9"/>
      <c r="AL2" s="201"/>
      <c r="AM2"/>
      <c r="AN2" s="15" t="s">
        <v>60</v>
      </c>
      <c r="AO2" s="15" t="s">
        <v>61</v>
      </c>
      <c r="AP2" s="15" t="s">
        <v>62</v>
      </c>
      <c r="AQ2" s="21"/>
      <c r="AR2" s="21"/>
      <c r="AS2"/>
    </row>
    <row r="3" spans="1:46" ht="21" customHeight="1" x14ac:dyDescent="0.55000000000000004">
      <c r="E3" s="45"/>
      <c r="F3" s="7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248" t="s">
        <v>63</v>
      </c>
      <c r="Y3" s="39">
        <f>AI76</f>
        <v>0</v>
      </c>
      <c r="Z3" s="39">
        <f>AJ76</f>
        <v>0</v>
      </c>
      <c r="AA3" s="250" t="e">
        <f>Y3/Z3</f>
        <v>#DIV/0!</v>
      </c>
      <c r="AB3" s="13"/>
      <c r="AF3" s="9"/>
      <c r="AG3" s="9"/>
      <c r="AL3" s="201"/>
      <c r="AM3"/>
      <c r="AN3" s="15"/>
      <c r="AO3" s="15"/>
      <c r="AP3" s="15"/>
      <c r="AQ3" s="21"/>
      <c r="AR3" s="21"/>
      <c r="AS3"/>
    </row>
    <row r="4" spans="1:46" ht="21.5" thickBot="1" x14ac:dyDescent="0.6">
      <c r="B4" s="31" t="s">
        <v>66</v>
      </c>
      <c r="E4" s="6"/>
      <c r="F4" s="7"/>
      <c r="I4" s="103">
        <f>SUM(I5:I75)</f>
        <v>51660000</v>
      </c>
      <c r="J4" s="103">
        <f>SUM(J5:J75)</f>
        <v>53455000</v>
      </c>
      <c r="K4" s="103">
        <f>SUM(K5:K75)</f>
        <v>56990000</v>
      </c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251" t="s">
        <v>78</v>
      </c>
      <c r="Y4" s="252">
        <f>SUM(Y5:Y88)</f>
        <v>0</v>
      </c>
      <c r="Z4" s="252">
        <v>323950672.81999999</v>
      </c>
      <c r="AA4" s="253">
        <f>Y4/Z4</f>
        <v>0</v>
      </c>
      <c r="AB4" s="13"/>
      <c r="AF4" s="9" t="s">
        <v>82</v>
      </c>
      <c r="AG4" s="196"/>
      <c r="AI4" s="4" t="s">
        <v>364</v>
      </c>
      <c r="AL4" s="201"/>
      <c r="AM4"/>
      <c r="AN4" s="93" t="s">
        <v>84</v>
      </c>
      <c r="AO4" s="93" t="s">
        <v>85</v>
      </c>
      <c r="AP4" s="16" t="s">
        <v>86</v>
      </c>
      <c r="AQ4" s="14"/>
      <c r="AR4" s="14"/>
      <c r="AS4"/>
    </row>
    <row r="5" spans="1:46" ht="21" customHeight="1" x14ac:dyDescent="0.55000000000000004">
      <c r="A5" s="32" t="s">
        <v>79</v>
      </c>
      <c r="B5" s="31" t="s">
        <v>87</v>
      </c>
      <c r="C5" s="1" t="s">
        <v>88</v>
      </c>
      <c r="D5" s="1" t="s">
        <v>89</v>
      </c>
      <c r="E5" s="77" t="s">
        <v>90</v>
      </c>
      <c r="F5" s="80" t="s">
        <v>91</v>
      </c>
      <c r="G5" s="74" t="s">
        <v>9</v>
      </c>
      <c r="H5" s="202">
        <v>0.56999999999999995</v>
      </c>
      <c r="I5" s="96">
        <v>1700000</v>
      </c>
      <c r="J5" s="82">
        <v>0</v>
      </c>
      <c r="K5" s="82">
        <v>0</v>
      </c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Y5" s="95">
        <f t="shared" ref="Y5:Y36" si="0">SUM(L5:X5)</f>
        <v>0</v>
      </c>
      <c r="Z5" s="70"/>
      <c r="AA5" s="13">
        <f t="shared" ref="AA5:AA25" si="1">Y5-Z5</f>
        <v>0</v>
      </c>
      <c r="AB5" s="13"/>
      <c r="AF5" s="9" t="s">
        <v>365</v>
      </c>
      <c r="AG5" s="35" t="e">
        <f>AI11/AJ11</f>
        <v>#REF!</v>
      </c>
      <c r="AH5" s="67" t="s">
        <v>37</v>
      </c>
      <c r="AI5" s="67" t="s">
        <v>92</v>
      </c>
      <c r="AJ5" s="67" t="s">
        <v>366</v>
      </c>
      <c r="AK5" s="67" t="s">
        <v>96</v>
      </c>
      <c r="AL5" s="201"/>
      <c r="AM5"/>
      <c r="AN5" s="93" t="s">
        <v>97</v>
      </c>
      <c r="AO5" s="94">
        <v>0.5</v>
      </c>
      <c r="AP5" s="16" t="s">
        <v>98</v>
      </c>
      <c r="AQ5" s="14"/>
      <c r="AR5" s="14"/>
      <c r="AS5"/>
    </row>
    <row r="6" spans="1:46" ht="21" customHeight="1" x14ac:dyDescent="0.55000000000000004">
      <c r="A6" s="32" t="s">
        <v>79</v>
      </c>
      <c r="B6" s="1" t="s">
        <v>99</v>
      </c>
      <c r="C6" s="1" t="s">
        <v>100</v>
      </c>
      <c r="D6" s="1" t="s">
        <v>89</v>
      </c>
      <c r="E6" s="77" t="s">
        <v>101</v>
      </c>
      <c r="F6" s="80" t="s">
        <v>102</v>
      </c>
      <c r="G6" s="74" t="s">
        <v>9</v>
      </c>
      <c r="H6" s="202">
        <v>0.56999999999999995</v>
      </c>
      <c r="I6" s="96">
        <v>750000</v>
      </c>
      <c r="J6" s="82">
        <v>750000</v>
      </c>
      <c r="K6" s="82">
        <v>750000</v>
      </c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Y6" s="95">
        <f t="shared" si="0"/>
        <v>0</v>
      </c>
      <c r="Z6" s="70"/>
      <c r="AA6" s="13">
        <f t="shared" si="1"/>
        <v>0</v>
      </c>
      <c r="AB6" s="13"/>
      <c r="AF6" s="9" t="s">
        <v>65</v>
      </c>
      <c r="AG6" s="35" t="e">
        <f>AI15/AK15</f>
        <v>#REF!</v>
      </c>
      <c r="AH6" s="19" t="s">
        <v>103</v>
      </c>
      <c r="AI6" s="20" t="e">
        <f>SUMIF($G$5:$G$27,"A",$Y$5:$Y$27)+#REF!</f>
        <v>#REF!</v>
      </c>
      <c r="AJ6" s="111"/>
      <c r="AK6" s="111"/>
      <c r="AL6" s="201"/>
      <c r="AM6"/>
      <c r="AN6" s="93" t="s">
        <v>104</v>
      </c>
      <c r="AO6" s="94">
        <v>0.8</v>
      </c>
      <c r="AP6" s="16" t="s">
        <v>105</v>
      </c>
      <c r="AQ6" s="14"/>
      <c r="AR6" s="14"/>
      <c r="AS6"/>
    </row>
    <row r="7" spans="1:46" ht="21" customHeight="1" x14ac:dyDescent="0.55000000000000004">
      <c r="A7" s="32" t="s">
        <v>79</v>
      </c>
      <c r="B7" s="31" t="s">
        <v>106</v>
      </c>
      <c r="C7" s="1" t="s">
        <v>107</v>
      </c>
      <c r="D7" s="1" t="s">
        <v>108</v>
      </c>
      <c r="E7" s="77" t="s">
        <v>90</v>
      </c>
      <c r="F7" s="80" t="s">
        <v>109</v>
      </c>
      <c r="G7" s="74" t="s">
        <v>9</v>
      </c>
      <c r="H7" s="202">
        <v>0.46</v>
      </c>
      <c r="I7" s="96">
        <v>500000</v>
      </c>
      <c r="J7" s="82">
        <v>500000</v>
      </c>
      <c r="K7" s="82">
        <v>500000</v>
      </c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Y7" s="95">
        <f t="shared" si="0"/>
        <v>0</v>
      </c>
      <c r="Z7" s="70"/>
      <c r="AA7" s="13">
        <f t="shared" si="1"/>
        <v>0</v>
      </c>
      <c r="AB7" s="13"/>
      <c r="AC7" s="65"/>
      <c r="AF7" s="196"/>
      <c r="AG7" s="196"/>
      <c r="AH7" s="19" t="s">
        <v>110</v>
      </c>
      <c r="AI7" s="20">
        <f>SUMIF($G$5:$G$27,"B",$Y$5:$Y$27)</f>
        <v>0</v>
      </c>
      <c r="AJ7" s="111"/>
      <c r="AK7" s="111"/>
      <c r="AL7" s="201"/>
      <c r="AM7"/>
      <c r="AN7" s="93" t="s">
        <v>110</v>
      </c>
      <c r="AO7" s="94">
        <v>0.99</v>
      </c>
      <c r="AP7" s="16" t="s">
        <v>111</v>
      </c>
      <c r="AQ7" s="14"/>
      <c r="AR7" s="14"/>
    </row>
    <row r="8" spans="1:46" ht="21" customHeight="1" x14ac:dyDescent="0.55000000000000004">
      <c r="A8" s="32" t="s">
        <v>79</v>
      </c>
      <c r="B8" s="1" t="s">
        <v>112</v>
      </c>
      <c r="C8" s="1" t="s">
        <v>113</v>
      </c>
      <c r="D8" s="1" t="s">
        <v>89</v>
      </c>
      <c r="E8" s="77" t="s">
        <v>90</v>
      </c>
      <c r="F8" s="80" t="s">
        <v>114</v>
      </c>
      <c r="G8" s="74" t="s">
        <v>9</v>
      </c>
      <c r="H8" s="202">
        <v>0.25</v>
      </c>
      <c r="I8" s="96">
        <v>0</v>
      </c>
      <c r="J8" s="82">
        <v>0</v>
      </c>
      <c r="K8" s="82">
        <v>0</v>
      </c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Y8" s="95">
        <f t="shared" si="0"/>
        <v>0</v>
      </c>
      <c r="Z8" s="70"/>
      <c r="AA8" s="13">
        <f t="shared" si="1"/>
        <v>0</v>
      </c>
      <c r="AB8" s="13"/>
      <c r="AC8" s="65"/>
      <c r="AF8" s="196"/>
      <c r="AG8" s="196"/>
      <c r="AH8" s="19" t="s">
        <v>104</v>
      </c>
      <c r="AI8" s="20">
        <f>SUMIF($G$5:$G$27,"C",$Y$5:$Y$27)</f>
        <v>0</v>
      </c>
      <c r="AJ8" s="111"/>
      <c r="AK8" s="111"/>
      <c r="AL8" s="201"/>
      <c r="AM8"/>
      <c r="AN8" s="93" t="s">
        <v>103</v>
      </c>
      <c r="AO8" s="94">
        <v>1</v>
      </c>
      <c r="AP8" s="16" t="s">
        <v>115</v>
      </c>
      <c r="AQ8" s="14"/>
      <c r="AR8" s="14"/>
      <c r="AS8"/>
    </row>
    <row r="9" spans="1:46" ht="21" customHeight="1" x14ac:dyDescent="0.55000000000000004">
      <c r="A9" s="32" t="s">
        <v>79</v>
      </c>
      <c r="B9" s="1" t="s">
        <v>112</v>
      </c>
      <c r="C9" s="1" t="s">
        <v>116</v>
      </c>
      <c r="D9" s="1" t="s">
        <v>89</v>
      </c>
      <c r="E9" s="99" t="s">
        <v>90</v>
      </c>
      <c r="F9" s="80" t="s">
        <v>117</v>
      </c>
      <c r="G9" s="74" t="s">
        <v>9</v>
      </c>
      <c r="H9" s="202">
        <v>0.25</v>
      </c>
      <c r="I9" s="96">
        <v>8480000</v>
      </c>
      <c r="J9" s="82">
        <v>8480000</v>
      </c>
      <c r="K9" s="82">
        <v>8480000</v>
      </c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Y9" s="95">
        <f t="shared" si="0"/>
        <v>0</v>
      </c>
      <c r="Z9" s="70"/>
      <c r="AA9" s="13">
        <f t="shared" si="1"/>
        <v>0</v>
      </c>
      <c r="AB9" s="13"/>
      <c r="AC9" s="8"/>
      <c r="AF9" s="196"/>
      <c r="AG9" s="196"/>
      <c r="AH9" s="19" t="s">
        <v>97</v>
      </c>
      <c r="AI9" s="20">
        <f>SUMIF($G$5:$G$27,"D",$Y$5:$Y$27)</f>
        <v>0</v>
      </c>
      <c r="AJ9" s="111"/>
      <c r="AK9" s="111"/>
      <c r="AL9" s="201"/>
      <c r="AM9"/>
      <c r="AN9" s="14"/>
      <c r="AO9" s="17"/>
      <c r="AP9" s="14"/>
      <c r="AQ9" s="14"/>
      <c r="AR9" s="14"/>
      <c r="AS9"/>
    </row>
    <row r="10" spans="1:46" ht="21" customHeight="1" x14ac:dyDescent="0.55000000000000004">
      <c r="A10" s="32" t="s">
        <v>79</v>
      </c>
      <c r="B10" s="1" t="s">
        <v>112</v>
      </c>
      <c r="C10" s="1" t="s">
        <v>119</v>
      </c>
      <c r="D10" s="1" t="s">
        <v>108</v>
      </c>
      <c r="E10" s="77" t="s">
        <v>120</v>
      </c>
      <c r="F10" s="80" t="s">
        <v>121</v>
      </c>
      <c r="G10" s="2" t="s">
        <v>122</v>
      </c>
      <c r="I10" s="96">
        <v>0</v>
      </c>
      <c r="J10" s="82">
        <v>0</v>
      </c>
      <c r="K10" s="82">
        <v>0</v>
      </c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Y10" s="95">
        <f t="shared" si="0"/>
        <v>0</v>
      </c>
      <c r="Z10" s="70"/>
      <c r="AA10" s="13">
        <f t="shared" si="1"/>
        <v>0</v>
      </c>
      <c r="AB10" s="13"/>
      <c r="AC10" s="64"/>
      <c r="AF10" s="196"/>
      <c r="AG10" s="196"/>
      <c r="AH10" s="19" t="s">
        <v>84</v>
      </c>
      <c r="AI10" s="20">
        <f>SUMIF($G$5:$G$27,"o",$Y$5:$Y$27)</f>
        <v>0</v>
      </c>
      <c r="AJ10" s="111"/>
      <c r="AK10" s="111"/>
      <c r="AL10" s="201"/>
    </row>
    <row r="11" spans="1:46" ht="21" customHeight="1" x14ac:dyDescent="0.55000000000000004">
      <c r="A11" s="32" t="s">
        <v>79</v>
      </c>
      <c r="B11" s="1" t="s">
        <v>112</v>
      </c>
      <c r="C11" s="1" t="s">
        <v>124</v>
      </c>
      <c r="D11" s="1" t="s">
        <v>108</v>
      </c>
      <c r="E11" s="77" t="s">
        <v>120</v>
      </c>
      <c r="F11" s="80" t="s">
        <v>125</v>
      </c>
      <c r="G11" s="2" t="s">
        <v>122</v>
      </c>
      <c r="I11" s="96">
        <v>0</v>
      </c>
      <c r="J11" s="82">
        <v>0</v>
      </c>
      <c r="K11" s="82">
        <v>0</v>
      </c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Y11" s="95">
        <f t="shared" si="0"/>
        <v>0</v>
      </c>
      <c r="Z11" s="70"/>
      <c r="AA11" s="13">
        <f t="shared" si="1"/>
        <v>0</v>
      </c>
      <c r="AB11" s="13"/>
      <c r="AC11" s="64"/>
      <c r="AF11" s="196"/>
      <c r="AG11" s="196"/>
      <c r="AH11" s="219" t="s">
        <v>127</v>
      </c>
      <c r="AI11" s="24" t="e">
        <f>SUM(AI6:AI10)</f>
        <v>#REF!</v>
      </c>
      <c r="AJ11" s="24">
        <v>147703032</v>
      </c>
      <c r="AK11" s="111"/>
      <c r="AL11" s="201"/>
    </row>
    <row r="12" spans="1:46" ht="21" customHeight="1" x14ac:dyDescent="0.55000000000000004">
      <c r="A12" s="32" t="s">
        <v>79</v>
      </c>
      <c r="B12" s="31" t="s">
        <v>128</v>
      </c>
      <c r="C12" s="1" t="s">
        <v>129</v>
      </c>
      <c r="D12" s="1" t="s">
        <v>108</v>
      </c>
      <c r="E12" s="78" t="s">
        <v>367</v>
      </c>
      <c r="F12" s="81" t="s">
        <v>130</v>
      </c>
      <c r="G12" s="1" t="s">
        <v>11</v>
      </c>
      <c r="I12" s="97">
        <v>0</v>
      </c>
      <c r="J12" s="82">
        <v>0</v>
      </c>
      <c r="K12" s="82">
        <v>280000</v>
      </c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Y12" s="65">
        <f t="shared" si="0"/>
        <v>0</v>
      </c>
      <c r="Z12" s="70"/>
      <c r="AA12" s="13">
        <f t="shared" si="1"/>
        <v>0</v>
      </c>
      <c r="AB12" s="13"/>
      <c r="AC12" s="13"/>
      <c r="AF12" s="196"/>
      <c r="AG12" s="196"/>
      <c r="AK12" s="201"/>
      <c r="AL12" s="201"/>
    </row>
    <row r="13" spans="1:46" ht="21" customHeight="1" x14ac:dyDescent="0.55000000000000004">
      <c r="A13" s="32" t="s">
        <v>79</v>
      </c>
      <c r="B13" s="1" t="s">
        <v>131</v>
      </c>
      <c r="C13" s="1" t="s">
        <v>132</v>
      </c>
      <c r="D13" s="1" t="s">
        <v>89</v>
      </c>
      <c r="E13" s="77" t="s">
        <v>133</v>
      </c>
      <c r="F13" s="80" t="s">
        <v>134</v>
      </c>
      <c r="G13" s="74" t="s">
        <v>9</v>
      </c>
      <c r="I13" s="96"/>
      <c r="J13" s="82"/>
      <c r="K13" s="82">
        <v>175000</v>
      </c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Y13" s="95">
        <f t="shared" si="0"/>
        <v>0</v>
      </c>
      <c r="Z13" s="70"/>
      <c r="AA13" s="13">
        <f t="shared" si="1"/>
        <v>0</v>
      </c>
      <c r="AB13" s="13"/>
      <c r="AC13" s="13"/>
      <c r="AF13" s="196"/>
      <c r="AG13" s="196"/>
      <c r="AH13" s="219" t="s">
        <v>135</v>
      </c>
      <c r="AI13" s="24">
        <f>チーム別PreSales!E4</f>
        <v>30956700</v>
      </c>
      <c r="AJ13" s="111"/>
      <c r="AK13" s="111"/>
      <c r="AL13" s="201"/>
    </row>
    <row r="14" spans="1:46" ht="21" customHeight="1" x14ac:dyDescent="0.55000000000000004">
      <c r="A14" s="32" t="s">
        <v>79</v>
      </c>
      <c r="B14" s="29" t="s">
        <v>87</v>
      </c>
      <c r="C14" s="29" t="s">
        <v>136</v>
      </c>
      <c r="D14" s="1" t="s">
        <v>108</v>
      </c>
      <c r="E14" s="77" t="s">
        <v>137</v>
      </c>
      <c r="F14" s="80" t="s">
        <v>138</v>
      </c>
      <c r="G14" s="74" t="s">
        <v>9</v>
      </c>
      <c r="H14" s="202">
        <v>0.49</v>
      </c>
      <c r="I14" s="96">
        <v>1960000</v>
      </c>
      <c r="J14" s="82">
        <v>1960000</v>
      </c>
      <c r="K14" s="82">
        <v>1960000</v>
      </c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Y14" s="95">
        <f t="shared" si="0"/>
        <v>0</v>
      </c>
      <c r="Z14" s="70"/>
      <c r="AA14" s="13">
        <f t="shared" si="1"/>
        <v>0</v>
      </c>
      <c r="AB14" s="13"/>
      <c r="AC14" s="13"/>
      <c r="AF14" s="196"/>
      <c r="AG14" s="196"/>
      <c r="AL14" s="201"/>
    </row>
    <row r="15" spans="1:46" s="29" customFormat="1" ht="21" x14ac:dyDescent="0.55000000000000004">
      <c r="A15" s="32" t="s">
        <v>79</v>
      </c>
      <c r="B15" s="43" t="s">
        <v>139</v>
      </c>
      <c r="C15" s="43" t="s">
        <v>140</v>
      </c>
      <c r="D15" s="43" t="s">
        <v>108</v>
      </c>
      <c r="E15" s="77" t="s">
        <v>141</v>
      </c>
      <c r="F15" s="80" t="s">
        <v>142</v>
      </c>
      <c r="G15" s="74" t="s">
        <v>9</v>
      </c>
      <c r="H15" s="203"/>
      <c r="I15" s="96">
        <v>0</v>
      </c>
      <c r="J15" s="82">
        <v>0</v>
      </c>
      <c r="K15" s="82">
        <v>0</v>
      </c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11"/>
      <c r="Y15" s="95">
        <f t="shared" si="0"/>
        <v>0</v>
      </c>
      <c r="Z15" s="70"/>
      <c r="AA15" s="13">
        <f t="shared" si="1"/>
        <v>0</v>
      </c>
      <c r="AB15" s="13"/>
      <c r="AC15" s="30"/>
      <c r="AD15" s="2"/>
      <c r="AE15" s="1"/>
      <c r="AF15" s="198"/>
      <c r="AG15" s="198"/>
      <c r="AH15" s="219" t="s">
        <v>143</v>
      </c>
      <c r="AI15" s="24" t="e">
        <f>AI11+AI13</f>
        <v>#REF!</v>
      </c>
      <c r="AJ15" s="111"/>
      <c r="AK15" s="24">
        <v>106000000</v>
      </c>
      <c r="AL15" s="201"/>
      <c r="AM15" s="1"/>
      <c r="AN15" s="1"/>
      <c r="AO15" s="1"/>
      <c r="AP15" s="1"/>
      <c r="AQ15" s="1"/>
      <c r="AR15" s="1"/>
      <c r="AS15" s="1"/>
      <c r="AT15" s="1"/>
    </row>
    <row r="16" spans="1:46" ht="21" outlineLevel="1" x14ac:dyDescent="0.55000000000000004">
      <c r="A16" s="32" t="s">
        <v>79</v>
      </c>
      <c r="B16" s="1" t="s">
        <v>144</v>
      </c>
      <c r="C16" s="1" t="s">
        <v>145</v>
      </c>
      <c r="D16" s="1" t="s">
        <v>108</v>
      </c>
      <c r="E16" s="77" t="s">
        <v>146</v>
      </c>
      <c r="F16" s="80" t="s">
        <v>147</v>
      </c>
      <c r="G16" s="2" t="s">
        <v>122</v>
      </c>
      <c r="I16" s="96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Y16" s="95">
        <f t="shared" si="0"/>
        <v>0</v>
      </c>
      <c r="Z16" s="70"/>
      <c r="AA16" s="13">
        <f t="shared" si="1"/>
        <v>0</v>
      </c>
      <c r="AB16" s="13"/>
      <c r="AC16" s="64"/>
      <c r="AF16" s="196"/>
      <c r="AG16" s="196"/>
      <c r="AL16" s="201"/>
    </row>
    <row r="17" spans="1:38" ht="21" outlineLevel="1" x14ac:dyDescent="0.55000000000000004">
      <c r="A17" s="32" t="s">
        <v>79</v>
      </c>
      <c r="B17" s="1" t="s">
        <v>148</v>
      </c>
      <c r="C17" s="1" t="s">
        <v>145</v>
      </c>
      <c r="D17" s="1" t="s">
        <v>108</v>
      </c>
      <c r="E17" s="77" t="s">
        <v>149</v>
      </c>
      <c r="F17" s="80" t="s">
        <v>147</v>
      </c>
      <c r="G17" s="2" t="s">
        <v>122</v>
      </c>
      <c r="I17" s="96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Y17" s="95">
        <f t="shared" si="0"/>
        <v>0</v>
      </c>
      <c r="Z17" s="70"/>
      <c r="AA17" s="13">
        <f t="shared" si="1"/>
        <v>0</v>
      </c>
      <c r="AB17" s="13"/>
      <c r="AC17" s="64"/>
      <c r="AF17" s="196"/>
      <c r="AG17" s="196"/>
      <c r="AL17" s="201"/>
    </row>
    <row r="18" spans="1:38" ht="21" outlineLevel="1" x14ac:dyDescent="0.55000000000000004">
      <c r="A18" s="32" t="s">
        <v>79</v>
      </c>
      <c r="B18" s="1" t="s">
        <v>150</v>
      </c>
      <c r="C18" s="1" t="s">
        <v>145</v>
      </c>
      <c r="D18" s="1" t="s">
        <v>108</v>
      </c>
      <c r="E18" s="77" t="s">
        <v>151</v>
      </c>
      <c r="F18" s="80" t="s">
        <v>147</v>
      </c>
      <c r="G18" s="2" t="s">
        <v>122</v>
      </c>
      <c r="I18" s="96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Y18" s="95">
        <f t="shared" si="0"/>
        <v>0</v>
      </c>
      <c r="Z18" s="70"/>
      <c r="AA18" s="13">
        <f t="shared" si="1"/>
        <v>0</v>
      </c>
      <c r="AB18" s="13"/>
      <c r="AC18" s="64"/>
      <c r="AF18" s="196"/>
      <c r="AG18" s="196"/>
      <c r="AL18" s="201"/>
    </row>
    <row r="19" spans="1:38" ht="21" outlineLevel="1" x14ac:dyDescent="0.55000000000000004">
      <c r="A19" s="32" t="s">
        <v>79</v>
      </c>
      <c r="B19" s="1" t="s">
        <v>152</v>
      </c>
      <c r="C19" s="1" t="s">
        <v>145</v>
      </c>
      <c r="D19" s="1" t="s">
        <v>108</v>
      </c>
      <c r="E19" s="77" t="s">
        <v>153</v>
      </c>
      <c r="F19" s="80" t="s">
        <v>147</v>
      </c>
      <c r="G19" s="2" t="s">
        <v>122</v>
      </c>
      <c r="I19" s="96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Y19" s="95">
        <f t="shared" si="0"/>
        <v>0</v>
      </c>
      <c r="Z19" s="70"/>
      <c r="AA19" s="13">
        <f t="shared" si="1"/>
        <v>0</v>
      </c>
      <c r="AB19" s="13"/>
      <c r="AC19" s="64"/>
      <c r="AF19" s="196"/>
      <c r="AG19" s="196"/>
      <c r="AL19" s="201"/>
    </row>
    <row r="20" spans="1:38" ht="21" outlineLevel="1" x14ac:dyDescent="0.55000000000000004">
      <c r="A20" s="32" t="s">
        <v>79</v>
      </c>
      <c r="B20" s="1" t="s">
        <v>154</v>
      </c>
      <c r="C20" s="1" t="s">
        <v>145</v>
      </c>
      <c r="D20" s="1" t="s">
        <v>108</v>
      </c>
      <c r="E20" s="77" t="s">
        <v>153</v>
      </c>
      <c r="F20" s="80" t="s">
        <v>147</v>
      </c>
      <c r="G20" s="2" t="s">
        <v>122</v>
      </c>
      <c r="I20" s="96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Y20" s="95">
        <f t="shared" si="0"/>
        <v>0</v>
      </c>
      <c r="Z20" s="70"/>
      <c r="AA20" s="13">
        <f t="shared" si="1"/>
        <v>0</v>
      </c>
      <c r="AB20" s="13"/>
      <c r="AC20" s="64"/>
      <c r="AF20" s="196"/>
      <c r="AG20" s="196"/>
      <c r="AL20" s="201"/>
    </row>
    <row r="21" spans="1:38" ht="21" outlineLevel="1" x14ac:dyDescent="0.55000000000000004">
      <c r="A21" s="32" t="s">
        <v>79</v>
      </c>
      <c r="B21" s="1" t="s">
        <v>155</v>
      </c>
      <c r="C21" s="1" t="s">
        <v>145</v>
      </c>
      <c r="D21" s="1" t="s">
        <v>108</v>
      </c>
      <c r="E21" s="77" t="s">
        <v>153</v>
      </c>
      <c r="F21" s="80" t="s">
        <v>147</v>
      </c>
      <c r="G21" s="2" t="s">
        <v>122</v>
      </c>
      <c r="I21" s="96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Y21" s="95">
        <f t="shared" si="0"/>
        <v>0</v>
      </c>
      <c r="Z21" s="70"/>
      <c r="AA21" s="13">
        <f t="shared" si="1"/>
        <v>0</v>
      </c>
      <c r="AB21" s="13"/>
      <c r="AC21" s="64"/>
      <c r="AF21" s="196"/>
      <c r="AG21" s="196"/>
      <c r="AL21" s="201"/>
    </row>
    <row r="22" spans="1:38" ht="21" outlineLevel="1" x14ac:dyDescent="0.55000000000000004">
      <c r="A22" s="32" t="s">
        <v>79</v>
      </c>
      <c r="B22" s="1" t="s">
        <v>156</v>
      </c>
      <c r="C22" s="1" t="s">
        <v>145</v>
      </c>
      <c r="D22" s="1" t="s">
        <v>108</v>
      </c>
      <c r="E22" s="77" t="s">
        <v>153</v>
      </c>
      <c r="F22" s="80" t="s">
        <v>147</v>
      </c>
      <c r="G22" s="2" t="s">
        <v>122</v>
      </c>
      <c r="I22" s="96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Y22" s="95">
        <f t="shared" si="0"/>
        <v>0</v>
      </c>
      <c r="Z22" s="70"/>
      <c r="AA22" s="13">
        <f t="shared" si="1"/>
        <v>0</v>
      </c>
      <c r="AB22" s="13"/>
      <c r="AC22" s="64"/>
      <c r="AF22" s="196"/>
      <c r="AG22" s="196"/>
      <c r="AL22" s="201"/>
    </row>
    <row r="23" spans="1:38" ht="21" customHeight="1" outlineLevel="1" x14ac:dyDescent="0.55000000000000004">
      <c r="A23" s="32" t="s">
        <v>157</v>
      </c>
      <c r="B23" s="1" t="s">
        <v>112</v>
      </c>
      <c r="C23" s="1" t="s">
        <v>158</v>
      </c>
      <c r="D23" s="1" t="s">
        <v>89</v>
      </c>
      <c r="E23" s="77" t="s">
        <v>159</v>
      </c>
      <c r="F23" s="80" t="s">
        <v>160</v>
      </c>
      <c r="G23" s="74" t="s">
        <v>9</v>
      </c>
      <c r="H23" s="202">
        <v>0.25</v>
      </c>
      <c r="I23" s="96">
        <v>2000000</v>
      </c>
      <c r="J23" s="82">
        <v>2000000</v>
      </c>
      <c r="K23" s="82">
        <v>2000000</v>
      </c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Y23" s="95">
        <f t="shared" si="0"/>
        <v>0</v>
      </c>
      <c r="Z23" s="70"/>
      <c r="AA23" s="13">
        <f t="shared" si="1"/>
        <v>0</v>
      </c>
      <c r="AB23" s="13"/>
      <c r="AC23" s="65"/>
      <c r="AF23" s="196"/>
      <c r="AG23" s="196"/>
      <c r="AL23" s="201"/>
    </row>
    <row r="24" spans="1:38" ht="21" customHeight="1" outlineLevel="1" x14ac:dyDescent="0.55000000000000004">
      <c r="A24" s="32" t="s">
        <v>157</v>
      </c>
      <c r="B24" s="29" t="s">
        <v>87</v>
      </c>
      <c r="C24" s="29" t="s">
        <v>161</v>
      </c>
      <c r="D24" s="1" t="s">
        <v>108</v>
      </c>
      <c r="E24" s="77" t="s">
        <v>137</v>
      </c>
      <c r="F24" s="80" t="s">
        <v>162</v>
      </c>
      <c r="G24" s="74" t="s">
        <v>9</v>
      </c>
      <c r="H24" s="202">
        <v>0.49</v>
      </c>
      <c r="I24" s="96">
        <v>1880000</v>
      </c>
      <c r="J24" s="82">
        <v>1880000</v>
      </c>
      <c r="K24" s="82">
        <v>1880000</v>
      </c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Y24" s="95">
        <f t="shared" si="0"/>
        <v>0</v>
      </c>
      <c r="Z24" s="70"/>
      <c r="AA24" s="13">
        <f t="shared" si="1"/>
        <v>0</v>
      </c>
      <c r="AB24" s="13"/>
      <c r="AC24" s="65"/>
      <c r="AF24" s="196"/>
      <c r="AG24" s="196"/>
      <c r="AL24" s="201"/>
    </row>
    <row r="25" spans="1:38" ht="21" customHeight="1" outlineLevel="1" x14ac:dyDescent="0.55000000000000004">
      <c r="A25" s="32" t="s">
        <v>157</v>
      </c>
      <c r="B25" s="1" t="s">
        <v>131</v>
      </c>
      <c r="C25" s="1" t="s">
        <v>163</v>
      </c>
      <c r="D25" s="1" t="s">
        <v>108</v>
      </c>
      <c r="E25" s="77" t="s">
        <v>141</v>
      </c>
      <c r="F25" s="80" t="s">
        <v>164</v>
      </c>
      <c r="G25" s="74" t="s">
        <v>9</v>
      </c>
      <c r="I25" s="96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Y25" s="95">
        <f t="shared" si="0"/>
        <v>0</v>
      </c>
      <c r="Z25" s="70"/>
      <c r="AA25" s="13">
        <f t="shared" si="1"/>
        <v>0</v>
      </c>
      <c r="AB25" s="13"/>
      <c r="AC25" s="65"/>
      <c r="AF25" s="196"/>
      <c r="AG25" s="196"/>
      <c r="AL25" s="201"/>
    </row>
    <row r="26" spans="1:38" ht="21" customHeight="1" outlineLevel="1" x14ac:dyDescent="0.55000000000000004">
      <c r="A26" s="32" t="s">
        <v>157</v>
      </c>
      <c r="B26" s="180" t="s">
        <v>165</v>
      </c>
      <c r="E26" s="78"/>
      <c r="F26" s="81"/>
      <c r="G26" s="43"/>
      <c r="I26" s="96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Y26" s="1">
        <f t="shared" si="0"/>
        <v>0</v>
      </c>
      <c r="Z26" s="70"/>
      <c r="AA26" s="13"/>
      <c r="AB26" s="13"/>
      <c r="AC26" s="65"/>
      <c r="AF26" s="196"/>
      <c r="AG26" s="196"/>
      <c r="AL26" s="201"/>
    </row>
    <row r="27" spans="1:38" ht="21" customHeight="1" thickBot="1" x14ac:dyDescent="0.6">
      <c r="A27" s="40" t="s">
        <v>157</v>
      </c>
      <c r="B27" s="72" t="s">
        <v>112</v>
      </c>
      <c r="C27" s="72" t="s">
        <v>166</v>
      </c>
      <c r="D27" s="72" t="s">
        <v>108</v>
      </c>
      <c r="E27" s="100" t="s">
        <v>159</v>
      </c>
      <c r="F27" s="101" t="s">
        <v>167</v>
      </c>
      <c r="G27" s="75" t="s">
        <v>9</v>
      </c>
      <c r="H27" s="206">
        <v>0.2</v>
      </c>
      <c r="I27" s="106">
        <v>2000000</v>
      </c>
      <c r="J27" s="104">
        <v>2000000</v>
      </c>
      <c r="K27" s="104">
        <v>2000000</v>
      </c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Y27" s="44">
        <f t="shared" si="0"/>
        <v>0</v>
      </c>
      <c r="Z27" s="71"/>
      <c r="AA27" s="110">
        <f t="shared" ref="AA27:AA50" si="2">Y27-Z27</f>
        <v>0</v>
      </c>
      <c r="AB27" s="110"/>
      <c r="AC27" s="73"/>
      <c r="AF27" s="9" t="s">
        <v>59</v>
      </c>
      <c r="AG27" s="9"/>
      <c r="AL27" s="201"/>
    </row>
    <row r="28" spans="1:38" ht="21" customHeight="1" x14ac:dyDescent="0.55000000000000004">
      <c r="A28" s="28" t="s">
        <v>168</v>
      </c>
      <c r="B28" s="1" t="s">
        <v>169</v>
      </c>
      <c r="C28" s="1" t="s">
        <v>170</v>
      </c>
      <c r="D28" s="1" t="s">
        <v>89</v>
      </c>
      <c r="E28" s="77" t="s">
        <v>90</v>
      </c>
      <c r="F28" s="80" t="s">
        <v>171</v>
      </c>
      <c r="G28" s="74" t="s">
        <v>9</v>
      </c>
      <c r="H28" s="202">
        <v>0.54</v>
      </c>
      <c r="I28" s="96">
        <v>0</v>
      </c>
      <c r="J28" s="82">
        <v>0</v>
      </c>
      <c r="K28" s="82">
        <v>0</v>
      </c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Y28" s="42">
        <f t="shared" si="0"/>
        <v>0</v>
      </c>
      <c r="Z28" s="70"/>
      <c r="AA28" s="13">
        <f t="shared" si="2"/>
        <v>0</v>
      </c>
      <c r="AB28" s="13"/>
      <c r="AC28" s="8"/>
      <c r="AF28" s="9" t="s">
        <v>172</v>
      </c>
      <c r="AG28" s="196"/>
      <c r="AI28" s="4" t="s">
        <v>364</v>
      </c>
      <c r="AL28" s="201"/>
    </row>
    <row r="29" spans="1:38" ht="21" customHeight="1" x14ac:dyDescent="0.55000000000000004">
      <c r="A29" s="28" t="s">
        <v>168</v>
      </c>
      <c r="B29" s="1" t="s">
        <v>169</v>
      </c>
      <c r="C29" s="1" t="s">
        <v>173</v>
      </c>
      <c r="D29" s="1" t="s">
        <v>89</v>
      </c>
      <c r="E29" s="77" t="s">
        <v>174</v>
      </c>
      <c r="F29" s="80" t="s">
        <v>171</v>
      </c>
      <c r="G29" s="74" t="s">
        <v>175</v>
      </c>
      <c r="I29" s="96">
        <v>2100000</v>
      </c>
      <c r="J29" s="82">
        <v>2100000</v>
      </c>
      <c r="K29" s="82">
        <v>2100000</v>
      </c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Y29" s="42">
        <f t="shared" si="0"/>
        <v>0</v>
      </c>
      <c r="Z29" s="70"/>
      <c r="AA29" s="13">
        <f t="shared" si="2"/>
        <v>0</v>
      </c>
      <c r="AB29" s="13"/>
      <c r="AC29" s="8"/>
      <c r="AF29" s="9" t="s">
        <v>365</v>
      </c>
      <c r="AG29" s="35" t="e">
        <f>AI35/AJ35</f>
        <v>#REF!</v>
      </c>
      <c r="AH29" s="67" t="s">
        <v>176</v>
      </c>
      <c r="AI29" s="67" t="s">
        <v>177</v>
      </c>
      <c r="AJ29" s="67" t="s">
        <v>53</v>
      </c>
      <c r="AK29" s="67" t="s">
        <v>96</v>
      </c>
      <c r="AL29" s="201"/>
    </row>
    <row r="30" spans="1:38" ht="21" customHeight="1" x14ac:dyDescent="0.55000000000000004">
      <c r="A30" s="28" t="s">
        <v>168</v>
      </c>
      <c r="B30" s="1" t="s">
        <v>169</v>
      </c>
      <c r="C30" s="1" t="s">
        <v>178</v>
      </c>
      <c r="D30" s="1" t="s">
        <v>89</v>
      </c>
      <c r="E30" s="77" t="s">
        <v>90</v>
      </c>
      <c r="F30" s="80" t="s">
        <v>171</v>
      </c>
      <c r="G30" s="74" t="s">
        <v>9</v>
      </c>
      <c r="H30" s="202">
        <v>0.37</v>
      </c>
      <c r="I30" s="96">
        <v>0</v>
      </c>
      <c r="J30" s="82">
        <v>0</v>
      </c>
      <c r="K30" s="82">
        <v>0</v>
      </c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Y30" s="42">
        <f t="shared" si="0"/>
        <v>0</v>
      </c>
      <c r="Z30" s="70"/>
      <c r="AA30" s="13">
        <f t="shared" si="2"/>
        <v>0</v>
      </c>
      <c r="AB30" s="13"/>
      <c r="AC30" s="8"/>
      <c r="AF30" s="9" t="s">
        <v>65</v>
      </c>
      <c r="AG30" s="35" t="e">
        <f>AI39/AK39</f>
        <v>#REF!</v>
      </c>
      <c r="AH30" s="19" t="s">
        <v>179</v>
      </c>
      <c r="AI30" s="20" t="e">
        <f>SUMIF($G$28:$G$52,AH30,$Y$28:$Y$52)+#REF!+#REF!</f>
        <v>#REF!</v>
      </c>
      <c r="AJ30" s="111"/>
      <c r="AK30" s="111"/>
      <c r="AL30" s="201"/>
    </row>
    <row r="31" spans="1:38" ht="21" customHeight="1" x14ac:dyDescent="0.55000000000000004">
      <c r="A31" s="28" t="s">
        <v>168</v>
      </c>
      <c r="B31" s="1" t="s">
        <v>169</v>
      </c>
      <c r="C31" s="1" t="s">
        <v>180</v>
      </c>
      <c r="D31" s="1" t="s">
        <v>89</v>
      </c>
      <c r="E31" s="77" t="s">
        <v>174</v>
      </c>
      <c r="F31" s="80" t="s">
        <v>171</v>
      </c>
      <c r="G31" s="74" t="s">
        <v>9</v>
      </c>
      <c r="I31" s="96">
        <v>2250000</v>
      </c>
      <c r="J31" s="82">
        <v>2250000</v>
      </c>
      <c r="K31" s="82">
        <v>1500000</v>
      </c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Y31" s="42">
        <f t="shared" si="0"/>
        <v>0</v>
      </c>
      <c r="Z31" s="70"/>
      <c r="AA31" s="13">
        <f t="shared" si="2"/>
        <v>0</v>
      </c>
      <c r="AB31" s="13"/>
      <c r="AC31" s="8"/>
      <c r="AF31" s="196"/>
      <c r="AG31" s="196"/>
      <c r="AH31" s="19" t="s">
        <v>181</v>
      </c>
      <c r="AI31" s="20">
        <f>SUMIF($G$28:$G$52,AH31,$Y$28:$Y$52)</f>
        <v>0</v>
      </c>
      <c r="AJ31" s="111"/>
      <c r="AK31" s="111"/>
      <c r="AL31" s="201"/>
    </row>
    <row r="32" spans="1:38" ht="21" customHeight="1" x14ac:dyDescent="0.55000000000000004">
      <c r="A32" s="28" t="s">
        <v>168</v>
      </c>
      <c r="B32" s="1" t="s">
        <v>131</v>
      </c>
      <c r="C32" s="1" t="s">
        <v>182</v>
      </c>
      <c r="D32" s="1" t="s">
        <v>89</v>
      </c>
      <c r="E32" s="77" t="s">
        <v>90</v>
      </c>
      <c r="F32" s="80" t="s">
        <v>183</v>
      </c>
      <c r="G32" s="74" t="s">
        <v>9</v>
      </c>
      <c r="I32" s="96">
        <v>0</v>
      </c>
      <c r="J32" s="82">
        <v>0</v>
      </c>
      <c r="K32" s="82">
        <v>0</v>
      </c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Y32" s="42">
        <f t="shared" si="0"/>
        <v>0</v>
      </c>
      <c r="Z32" s="70"/>
      <c r="AA32" s="13">
        <f t="shared" si="2"/>
        <v>0</v>
      </c>
      <c r="AB32" s="13"/>
      <c r="AC32" s="8"/>
      <c r="AF32" s="196"/>
      <c r="AG32" s="196"/>
      <c r="AH32" s="19" t="s">
        <v>184</v>
      </c>
      <c r="AI32" s="20">
        <f>SUMIF($G$28:$G$52,AH32,$Y$28:$Y$52)</f>
        <v>0</v>
      </c>
      <c r="AJ32" s="111"/>
      <c r="AK32" s="111"/>
      <c r="AL32" s="201"/>
    </row>
    <row r="33" spans="1:38" ht="21" customHeight="1" x14ac:dyDescent="0.55000000000000004">
      <c r="A33" s="28" t="s">
        <v>168</v>
      </c>
      <c r="B33" s="1" t="s">
        <v>131</v>
      </c>
      <c r="C33" s="1" t="s">
        <v>185</v>
      </c>
      <c r="D33" s="1" t="s">
        <v>89</v>
      </c>
      <c r="E33" s="77" t="s">
        <v>174</v>
      </c>
      <c r="F33" s="80" t="s">
        <v>183</v>
      </c>
      <c r="G33" s="74" t="s">
        <v>9</v>
      </c>
      <c r="I33" s="96">
        <v>750000</v>
      </c>
      <c r="J33" s="82">
        <v>750000</v>
      </c>
      <c r="K33" s="82">
        <v>750000</v>
      </c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Y33" s="42">
        <f t="shared" si="0"/>
        <v>0</v>
      </c>
      <c r="Z33" s="70"/>
      <c r="AA33" s="13">
        <f t="shared" si="2"/>
        <v>0</v>
      </c>
      <c r="AB33" s="13"/>
      <c r="AC33" s="8"/>
      <c r="AF33" s="196"/>
      <c r="AG33" s="196"/>
      <c r="AH33" s="19" t="s">
        <v>186</v>
      </c>
      <c r="AI33" s="38">
        <f>SUMIF($G$28:$G$52,AH33,$Y$28:$Y$52)</f>
        <v>0</v>
      </c>
      <c r="AJ33" s="111"/>
      <c r="AK33" s="111"/>
      <c r="AL33" s="201"/>
    </row>
    <row r="34" spans="1:38" ht="21" customHeight="1" x14ac:dyDescent="0.55000000000000004">
      <c r="A34" s="28" t="s">
        <v>168</v>
      </c>
      <c r="B34" s="1" t="s">
        <v>131</v>
      </c>
      <c r="C34" s="1" t="s">
        <v>187</v>
      </c>
      <c r="D34" s="1" t="s">
        <v>89</v>
      </c>
      <c r="E34" s="76" t="s">
        <v>188</v>
      </c>
      <c r="F34" s="79" t="s">
        <v>189</v>
      </c>
      <c r="G34" s="1" t="s">
        <v>190</v>
      </c>
      <c r="I34" s="11">
        <v>0</v>
      </c>
      <c r="J34" s="82">
        <v>0</v>
      </c>
      <c r="K34" s="82">
        <v>0</v>
      </c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Y34" s="8">
        <f t="shared" si="0"/>
        <v>0</v>
      </c>
      <c r="Z34" s="70"/>
      <c r="AA34" s="13">
        <f t="shared" si="2"/>
        <v>0</v>
      </c>
      <c r="AB34" s="13"/>
      <c r="AC34" s="13"/>
      <c r="AF34" s="196"/>
      <c r="AG34" s="196"/>
      <c r="AH34" s="19" t="s">
        <v>191</v>
      </c>
      <c r="AI34" s="20">
        <f>SUMIF($G$28:$G$52,AH34,$Y$28:$Y$52)</f>
        <v>0</v>
      </c>
      <c r="AJ34" s="111"/>
      <c r="AK34" s="111"/>
      <c r="AL34" s="201"/>
    </row>
    <row r="35" spans="1:38" ht="21" customHeight="1" x14ac:dyDescent="0.55000000000000004">
      <c r="A35" s="28" t="s">
        <v>168</v>
      </c>
      <c r="B35" s="1" t="s">
        <v>131</v>
      </c>
      <c r="C35" s="1" t="s">
        <v>192</v>
      </c>
      <c r="D35" s="1" t="s">
        <v>108</v>
      </c>
      <c r="E35" s="76" t="s">
        <v>193</v>
      </c>
      <c r="F35" s="79" t="s">
        <v>189</v>
      </c>
      <c r="G35" s="43" t="s">
        <v>175</v>
      </c>
      <c r="I35" s="97">
        <v>600000</v>
      </c>
      <c r="J35" s="82">
        <v>600000</v>
      </c>
      <c r="K35" s="82">
        <v>0</v>
      </c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Y35" s="8">
        <f t="shared" si="0"/>
        <v>0</v>
      </c>
      <c r="Z35" s="70"/>
      <c r="AA35" s="13">
        <f t="shared" si="2"/>
        <v>0</v>
      </c>
      <c r="AB35" s="13"/>
      <c r="AC35" s="13"/>
      <c r="AF35" s="196"/>
      <c r="AG35" s="196"/>
      <c r="AH35" s="219" t="s">
        <v>127</v>
      </c>
      <c r="AI35" s="24" t="e">
        <f>SUM(AI30:AI34)</f>
        <v>#REF!</v>
      </c>
      <c r="AJ35" s="24">
        <v>209139818</v>
      </c>
      <c r="AK35" s="111"/>
      <c r="AL35" s="201"/>
    </row>
    <row r="36" spans="1:38" ht="21" customHeight="1" x14ac:dyDescent="0.55000000000000004">
      <c r="A36" s="28" t="s">
        <v>168</v>
      </c>
      <c r="B36" s="1" t="s">
        <v>131</v>
      </c>
      <c r="C36" s="1" t="s">
        <v>196</v>
      </c>
      <c r="D36" s="1" t="s">
        <v>89</v>
      </c>
      <c r="E36" s="77" t="s">
        <v>90</v>
      </c>
      <c r="F36" s="80" t="s">
        <v>197</v>
      </c>
      <c r="G36" s="74" t="s">
        <v>9</v>
      </c>
      <c r="H36" s="202">
        <v>0.37</v>
      </c>
      <c r="I36" s="96">
        <v>0</v>
      </c>
      <c r="J36" s="82">
        <v>0</v>
      </c>
      <c r="K36" s="82">
        <v>0</v>
      </c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Y36" s="42">
        <f t="shared" si="0"/>
        <v>0</v>
      </c>
      <c r="Z36" s="70"/>
      <c r="AA36" s="13">
        <f t="shared" si="2"/>
        <v>0</v>
      </c>
      <c r="AB36" s="13"/>
      <c r="AC36" s="13"/>
      <c r="AF36" s="196"/>
      <c r="AG36" s="196"/>
      <c r="AJ36" s="63"/>
      <c r="AK36" s="201"/>
      <c r="AL36" s="201"/>
    </row>
    <row r="37" spans="1:38" ht="21" customHeight="1" x14ac:dyDescent="0.55000000000000004">
      <c r="A37" s="28" t="s">
        <v>168</v>
      </c>
      <c r="B37" s="1" t="s">
        <v>131</v>
      </c>
      <c r="C37" s="1" t="s">
        <v>198</v>
      </c>
      <c r="D37" s="1" t="s">
        <v>89</v>
      </c>
      <c r="E37" s="78" t="s">
        <v>199</v>
      </c>
      <c r="F37" s="81" t="s">
        <v>197</v>
      </c>
      <c r="G37" s="43" t="s">
        <v>175</v>
      </c>
      <c r="I37" s="98">
        <v>11660000</v>
      </c>
      <c r="J37" s="82">
        <v>11660000</v>
      </c>
      <c r="K37" s="82">
        <v>10540000</v>
      </c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Y37" s="8">
        <f t="shared" ref="Y37:Y68" si="3">SUM(L37:X37)</f>
        <v>0</v>
      </c>
      <c r="Z37" s="70"/>
      <c r="AA37" s="13">
        <f t="shared" si="2"/>
        <v>0</v>
      </c>
      <c r="AB37" s="13"/>
      <c r="AC37" s="13"/>
      <c r="AF37" s="196"/>
      <c r="AG37" s="196"/>
      <c r="AH37" s="219" t="s">
        <v>135</v>
      </c>
      <c r="AI37" s="24">
        <f>チーム別PreSales!E5</f>
        <v>734028.75</v>
      </c>
      <c r="AJ37" s="111"/>
      <c r="AK37" s="111"/>
      <c r="AL37" s="201"/>
    </row>
    <row r="38" spans="1:38" ht="21" customHeight="1" x14ac:dyDescent="0.55000000000000004">
      <c r="A38" s="28" t="s">
        <v>168</v>
      </c>
      <c r="B38" s="1" t="s">
        <v>200</v>
      </c>
      <c r="C38" s="1" t="s">
        <v>201</v>
      </c>
      <c r="D38" s="1" t="s">
        <v>108</v>
      </c>
      <c r="E38" s="77" t="s">
        <v>202</v>
      </c>
      <c r="F38" s="80" t="s">
        <v>203</v>
      </c>
      <c r="G38" s="2" t="s">
        <v>122</v>
      </c>
      <c r="I38" s="96">
        <v>0</v>
      </c>
      <c r="J38" s="82">
        <v>0</v>
      </c>
      <c r="K38" s="82">
        <v>0</v>
      </c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Y38" s="95">
        <f t="shared" si="3"/>
        <v>0</v>
      </c>
      <c r="Z38" s="70"/>
      <c r="AA38" s="13">
        <f t="shared" si="2"/>
        <v>0</v>
      </c>
      <c r="AB38" s="13"/>
      <c r="AC38" s="13"/>
      <c r="AF38" s="196"/>
      <c r="AG38" s="196"/>
      <c r="AL38" s="201"/>
    </row>
    <row r="39" spans="1:38" ht="21" customHeight="1" x14ac:dyDescent="0.55000000000000004">
      <c r="A39" s="28" t="s">
        <v>168</v>
      </c>
      <c r="B39" s="1" t="s">
        <v>204</v>
      </c>
      <c r="C39" s="1" t="s">
        <v>201</v>
      </c>
      <c r="D39" s="1" t="s">
        <v>108</v>
      </c>
      <c r="E39" s="77" t="s">
        <v>205</v>
      </c>
      <c r="F39" s="80" t="s">
        <v>203</v>
      </c>
      <c r="G39" s="2" t="s">
        <v>122</v>
      </c>
      <c r="I39" s="96">
        <v>0</v>
      </c>
      <c r="J39" s="82">
        <v>0</v>
      </c>
      <c r="K39" s="82">
        <v>0</v>
      </c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Y39" s="95">
        <f t="shared" si="3"/>
        <v>0</v>
      </c>
      <c r="Z39" s="70"/>
      <c r="AA39" s="13">
        <f t="shared" si="2"/>
        <v>0</v>
      </c>
      <c r="AB39" s="13"/>
      <c r="AC39" s="13"/>
      <c r="AF39" s="196"/>
      <c r="AG39" s="196"/>
      <c r="AH39" s="219" t="s">
        <v>143</v>
      </c>
      <c r="AI39" s="24" t="e">
        <f>AI35+AI37</f>
        <v>#REF!</v>
      </c>
      <c r="AJ39" s="111"/>
      <c r="AK39" s="24">
        <v>160000000</v>
      </c>
      <c r="AL39" s="201"/>
    </row>
    <row r="40" spans="1:38" ht="21" customHeight="1" outlineLevel="1" x14ac:dyDescent="0.55000000000000004">
      <c r="A40" s="28" t="s">
        <v>168</v>
      </c>
      <c r="B40" s="1" t="s">
        <v>206</v>
      </c>
      <c r="C40" s="1" t="s">
        <v>201</v>
      </c>
      <c r="D40" s="1" t="s">
        <v>108</v>
      </c>
      <c r="E40" s="77" t="s">
        <v>205</v>
      </c>
      <c r="F40" s="80" t="s">
        <v>203</v>
      </c>
      <c r="G40" s="2" t="s">
        <v>122</v>
      </c>
      <c r="I40" s="96">
        <v>0</v>
      </c>
      <c r="J40" s="82">
        <v>0</v>
      </c>
      <c r="K40" s="82">
        <v>0</v>
      </c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Y40" s="95">
        <f t="shared" si="3"/>
        <v>0</v>
      </c>
      <c r="Z40" s="70"/>
      <c r="AA40" s="13">
        <f t="shared" si="2"/>
        <v>0</v>
      </c>
      <c r="AB40" s="13"/>
      <c r="AC40" s="13"/>
      <c r="AF40" s="196"/>
      <c r="AG40" s="196"/>
      <c r="AL40" s="201"/>
    </row>
    <row r="41" spans="1:38" ht="21" customHeight="1" outlineLevel="1" x14ac:dyDescent="0.55000000000000004">
      <c r="A41" s="28" t="s">
        <v>207</v>
      </c>
      <c r="B41" s="2" t="s">
        <v>208</v>
      </c>
      <c r="C41" s="2" t="s">
        <v>209</v>
      </c>
      <c r="D41" s="2" t="s">
        <v>210</v>
      </c>
      <c r="E41" s="77" t="s">
        <v>211</v>
      </c>
      <c r="F41" s="92" t="s">
        <v>203</v>
      </c>
      <c r="G41" s="2" t="s">
        <v>122</v>
      </c>
      <c r="I41" s="97">
        <v>0</v>
      </c>
      <c r="J41" s="184">
        <v>0</v>
      </c>
      <c r="K41" s="184">
        <v>0</v>
      </c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Y41" s="65">
        <f t="shared" si="3"/>
        <v>0</v>
      </c>
      <c r="Z41" s="70"/>
      <c r="AA41" s="13">
        <f t="shared" si="2"/>
        <v>0</v>
      </c>
      <c r="AB41" s="13"/>
      <c r="AC41" s="30"/>
      <c r="AF41" s="196"/>
      <c r="AG41" s="196"/>
      <c r="AL41" s="201"/>
    </row>
    <row r="42" spans="1:38" ht="21" customHeight="1" outlineLevel="1" x14ac:dyDescent="0.55000000000000004">
      <c r="A42" s="28" t="s">
        <v>207</v>
      </c>
      <c r="B42" s="31" t="s">
        <v>213</v>
      </c>
      <c r="C42" s="1" t="s">
        <v>368</v>
      </c>
      <c r="D42" s="1" t="s">
        <v>210</v>
      </c>
      <c r="E42" s="78" t="s">
        <v>369</v>
      </c>
      <c r="F42" s="183" t="s">
        <v>216</v>
      </c>
      <c r="G42" s="1" t="s">
        <v>184</v>
      </c>
      <c r="I42" s="97">
        <v>0</v>
      </c>
      <c r="J42" s="82">
        <v>2500000</v>
      </c>
      <c r="K42" s="82">
        <v>5100000</v>
      </c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Y42" s="65">
        <f t="shared" si="3"/>
        <v>0</v>
      </c>
      <c r="Z42" s="70"/>
      <c r="AA42" s="13">
        <f t="shared" si="2"/>
        <v>0</v>
      </c>
      <c r="AB42" s="13"/>
      <c r="AC42" s="8"/>
      <c r="AF42" s="196"/>
      <c r="AG42" s="196"/>
      <c r="AL42" s="201"/>
    </row>
    <row r="43" spans="1:38" ht="21" customHeight="1" outlineLevel="1" x14ac:dyDescent="0.55000000000000004">
      <c r="A43" s="28" t="s">
        <v>168</v>
      </c>
      <c r="B43" s="1" t="s">
        <v>169</v>
      </c>
      <c r="C43" s="1" t="s">
        <v>218</v>
      </c>
      <c r="D43" s="1" t="s">
        <v>108</v>
      </c>
      <c r="E43" s="77" t="s">
        <v>219</v>
      </c>
      <c r="F43" s="80" t="s">
        <v>220</v>
      </c>
      <c r="G43" s="74" t="s">
        <v>9</v>
      </c>
      <c r="H43" s="202">
        <v>0.55000000000000004</v>
      </c>
      <c r="I43" s="96">
        <v>0</v>
      </c>
      <c r="J43" s="82">
        <v>0</v>
      </c>
      <c r="K43" s="82">
        <v>0</v>
      </c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Y43" s="42">
        <f t="shared" si="3"/>
        <v>0</v>
      </c>
      <c r="Z43" s="70"/>
      <c r="AA43" s="13">
        <f t="shared" si="2"/>
        <v>0</v>
      </c>
      <c r="AB43" s="13"/>
      <c r="AC43" s="65"/>
      <c r="AF43" s="196"/>
      <c r="AG43" s="196"/>
      <c r="AL43" s="201"/>
    </row>
    <row r="44" spans="1:38" ht="21" customHeight="1" outlineLevel="1" x14ac:dyDescent="0.55000000000000004">
      <c r="A44" s="28" t="s">
        <v>168</v>
      </c>
      <c r="B44" s="1" t="s">
        <v>169</v>
      </c>
      <c r="C44" s="1" t="s">
        <v>222</v>
      </c>
      <c r="D44" s="1" t="s">
        <v>89</v>
      </c>
      <c r="E44" s="78" t="s">
        <v>223</v>
      </c>
      <c r="F44" s="81" t="s">
        <v>224</v>
      </c>
      <c r="G44" s="43" t="s">
        <v>225</v>
      </c>
      <c r="I44" s="97">
        <v>0</v>
      </c>
      <c r="J44" s="82">
        <v>1050000</v>
      </c>
      <c r="K44" s="82">
        <v>1050000</v>
      </c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Y44" s="42">
        <f t="shared" si="3"/>
        <v>0</v>
      </c>
      <c r="Z44" s="70"/>
      <c r="AA44" s="13">
        <f t="shared" si="2"/>
        <v>0</v>
      </c>
      <c r="AB44" s="13"/>
      <c r="AC44" s="200"/>
      <c r="AF44" s="196"/>
      <c r="AG44" s="196"/>
      <c r="AL44" s="201"/>
    </row>
    <row r="45" spans="1:38" ht="21" customHeight="1" outlineLevel="1" x14ac:dyDescent="0.55000000000000004">
      <c r="A45" s="28" t="s">
        <v>207</v>
      </c>
      <c r="B45" s="1" t="s">
        <v>169</v>
      </c>
      <c r="C45" s="1" t="s">
        <v>228</v>
      </c>
      <c r="D45" s="1" t="s">
        <v>89</v>
      </c>
      <c r="E45" s="77" t="s">
        <v>229</v>
      </c>
      <c r="F45" s="92" t="s">
        <v>230</v>
      </c>
      <c r="G45" s="74" t="s">
        <v>231</v>
      </c>
      <c r="I45" s="96">
        <v>0</v>
      </c>
      <c r="J45" s="82">
        <v>0</v>
      </c>
      <c r="K45" s="82">
        <v>0</v>
      </c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Y45" s="42">
        <f t="shared" si="3"/>
        <v>0</v>
      </c>
      <c r="Z45" s="70"/>
      <c r="AA45" s="13">
        <f t="shared" si="2"/>
        <v>0</v>
      </c>
      <c r="AB45" s="13"/>
      <c r="AC45" s="65"/>
      <c r="AF45" s="196"/>
      <c r="AG45" s="196"/>
      <c r="AL45" s="201"/>
    </row>
    <row r="46" spans="1:38" ht="21" customHeight="1" outlineLevel="1" x14ac:dyDescent="0.55000000000000004">
      <c r="A46" s="28" t="s">
        <v>168</v>
      </c>
      <c r="B46" s="1" t="s">
        <v>169</v>
      </c>
      <c r="C46" s="1" t="s">
        <v>233</v>
      </c>
      <c r="D46" s="1" t="s">
        <v>108</v>
      </c>
      <c r="E46" s="77" t="s">
        <v>234</v>
      </c>
      <c r="F46" s="80" t="s">
        <v>235</v>
      </c>
      <c r="G46" s="74" t="s">
        <v>9</v>
      </c>
      <c r="I46" s="96">
        <v>2300000</v>
      </c>
      <c r="J46" s="82">
        <v>0</v>
      </c>
      <c r="K46" s="82">
        <v>0</v>
      </c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Y46" s="42">
        <f t="shared" si="3"/>
        <v>0</v>
      </c>
      <c r="Z46" s="70"/>
      <c r="AA46" s="13">
        <f t="shared" si="2"/>
        <v>0</v>
      </c>
      <c r="AB46" s="13"/>
      <c r="AC46" s="30"/>
      <c r="AF46" s="196"/>
      <c r="AG46" s="196"/>
      <c r="AL46" s="201"/>
    </row>
    <row r="47" spans="1:38" ht="21" customHeight="1" outlineLevel="1" x14ac:dyDescent="0.55000000000000004">
      <c r="A47" s="28" t="s">
        <v>207</v>
      </c>
      <c r="B47" s="1" t="s">
        <v>169</v>
      </c>
      <c r="C47" s="1" t="s">
        <v>236</v>
      </c>
      <c r="D47" s="1" t="s">
        <v>108</v>
      </c>
      <c r="E47" s="78" t="s">
        <v>370</v>
      </c>
      <c r="F47" s="183" t="s">
        <v>238</v>
      </c>
      <c r="G47" s="31" t="s">
        <v>186</v>
      </c>
      <c r="I47" s="97"/>
      <c r="J47" s="82">
        <v>0</v>
      </c>
      <c r="K47" s="82">
        <v>2450000</v>
      </c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Y47" s="8">
        <f t="shared" si="3"/>
        <v>0</v>
      </c>
      <c r="Z47" s="70"/>
      <c r="AA47" s="13">
        <f>Y47-Z47</f>
        <v>0</v>
      </c>
      <c r="AB47" s="13"/>
      <c r="AC47" s="200"/>
      <c r="AF47" s="196"/>
      <c r="AG47" s="196"/>
      <c r="AL47" s="201"/>
    </row>
    <row r="48" spans="1:38" ht="21" customHeight="1" outlineLevel="1" x14ac:dyDescent="0.55000000000000004">
      <c r="A48" s="28" t="s">
        <v>207</v>
      </c>
      <c r="B48" s="29" t="s">
        <v>240</v>
      </c>
      <c r="C48" s="1" t="s">
        <v>241</v>
      </c>
      <c r="D48" s="1" t="s">
        <v>108</v>
      </c>
      <c r="E48" s="78" t="s">
        <v>242</v>
      </c>
      <c r="F48" s="81" t="s">
        <v>243</v>
      </c>
      <c r="G48" s="43" t="s">
        <v>225</v>
      </c>
      <c r="I48" s="96">
        <v>0</v>
      </c>
      <c r="J48" s="1"/>
      <c r="K48" s="1">
        <v>1000000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Y48" s="8">
        <f t="shared" si="3"/>
        <v>0</v>
      </c>
      <c r="Z48" s="70"/>
      <c r="AA48" s="13">
        <f t="shared" si="2"/>
        <v>0</v>
      </c>
      <c r="AB48" s="13"/>
      <c r="AC48" s="8"/>
      <c r="AF48" s="196"/>
      <c r="AG48" s="196"/>
      <c r="AL48" s="201"/>
    </row>
    <row r="49" spans="1:38" ht="21" outlineLevel="1" x14ac:dyDescent="0.55000000000000004">
      <c r="A49" s="28" t="s">
        <v>207</v>
      </c>
      <c r="B49" s="1" t="s">
        <v>240</v>
      </c>
      <c r="C49" s="1" t="s">
        <v>245</v>
      </c>
      <c r="D49" s="1" t="s">
        <v>108</v>
      </c>
      <c r="E49" s="221" t="s">
        <v>246</v>
      </c>
      <c r="F49" s="80" t="s">
        <v>243</v>
      </c>
      <c r="G49" s="182" t="s">
        <v>231</v>
      </c>
      <c r="I49" s="96">
        <v>0</v>
      </c>
      <c r="J49" s="82">
        <v>0</v>
      </c>
      <c r="K49" s="82">
        <v>0</v>
      </c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Y49" s="42">
        <f t="shared" si="3"/>
        <v>0</v>
      </c>
      <c r="Z49" s="70"/>
      <c r="AA49" s="13">
        <f t="shared" si="2"/>
        <v>0</v>
      </c>
      <c r="AB49" s="13"/>
      <c r="AC49" s="8"/>
      <c r="AF49" s="196"/>
      <c r="AG49" s="196"/>
      <c r="AL49" s="201"/>
    </row>
    <row r="50" spans="1:38" ht="21" customHeight="1" outlineLevel="1" x14ac:dyDescent="0.55000000000000004">
      <c r="A50" s="28" t="s">
        <v>168</v>
      </c>
      <c r="B50" s="4" t="s">
        <v>249</v>
      </c>
      <c r="C50" s="1" t="s">
        <v>250</v>
      </c>
      <c r="D50" s="1" t="s">
        <v>108</v>
      </c>
      <c r="E50" s="78" t="s">
        <v>371</v>
      </c>
      <c r="F50" s="81" t="s">
        <v>252</v>
      </c>
      <c r="G50" s="31" t="s">
        <v>372</v>
      </c>
      <c r="I50" s="11">
        <v>0</v>
      </c>
      <c r="J50" s="107">
        <v>300000</v>
      </c>
      <c r="K50" s="107">
        <v>300000</v>
      </c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Y50" s="8">
        <f t="shared" si="3"/>
        <v>0</v>
      </c>
      <c r="Z50" s="70"/>
      <c r="AA50" s="13">
        <f t="shared" si="2"/>
        <v>0</v>
      </c>
      <c r="AB50" s="13"/>
      <c r="AC50" s="8"/>
      <c r="AF50" s="196"/>
      <c r="AG50" s="196"/>
      <c r="AL50" s="201"/>
    </row>
    <row r="51" spans="1:38" ht="18" customHeight="1" x14ac:dyDescent="0.55000000000000004">
      <c r="A51" s="28" t="s">
        <v>168</v>
      </c>
      <c r="B51" s="180" t="s">
        <v>165</v>
      </c>
      <c r="C51" s="31"/>
      <c r="D51" s="31"/>
      <c r="E51" s="212"/>
      <c r="F51" s="81"/>
      <c r="G51" s="43"/>
      <c r="I51" s="96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Y51" s="1">
        <f t="shared" si="3"/>
        <v>0</v>
      </c>
      <c r="Z51" s="70"/>
      <c r="AA51" s="13"/>
      <c r="AB51" s="13"/>
      <c r="AC51" s="8"/>
      <c r="AF51" s="196"/>
      <c r="AG51" s="196"/>
      <c r="AL51" s="201"/>
    </row>
    <row r="52" spans="1:38" ht="24.75" customHeight="1" thickBot="1" x14ac:dyDescent="0.6">
      <c r="A52" s="37" t="s">
        <v>168</v>
      </c>
      <c r="B52" s="36" t="s">
        <v>256</v>
      </c>
      <c r="C52" s="36" t="s">
        <v>257</v>
      </c>
      <c r="D52" s="36" t="s">
        <v>210</v>
      </c>
      <c r="E52" s="100" t="s">
        <v>258</v>
      </c>
      <c r="F52" s="101" t="s">
        <v>243</v>
      </c>
      <c r="G52" s="75" t="s">
        <v>122</v>
      </c>
      <c r="H52" s="213"/>
      <c r="I52" s="106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Y52" s="44">
        <f t="shared" si="3"/>
        <v>0</v>
      </c>
      <c r="Z52" s="71"/>
      <c r="AA52" s="110">
        <f t="shared" ref="AA52:AA73" si="4">Y52-Z52</f>
        <v>0</v>
      </c>
      <c r="AB52" s="110"/>
      <c r="AC52" s="109"/>
      <c r="AF52" s="9" t="s">
        <v>59</v>
      </c>
      <c r="AG52" s="196"/>
      <c r="AH52" s="220"/>
      <c r="AL52" s="201"/>
    </row>
    <row r="53" spans="1:38" ht="21" customHeight="1" x14ac:dyDescent="0.55000000000000004">
      <c r="A53" s="33" t="s">
        <v>260</v>
      </c>
      <c r="B53" s="1" t="s">
        <v>261</v>
      </c>
      <c r="C53" s="1" t="s">
        <v>262</v>
      </c>
      <c r="D53" s="1" t="s">
        <v>89</v>
      </c>
      <c r="E53" s="77" t="s">
        <v>373</v>
      </c>
      <c r="F53" s="80" t="s">
        <v>264</v>
      </c>
      <c r="G53" s="74" t="s">
        <v>9</v>
      </c>
      <c r="I53" s="83">
        <v>0</v>
      </c>
      <c r="J53" s="82">
        <v>0</v>
      </c>
      <c r="K53" s="82">
        <v>0</v>
      </c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Y53" s="42">
        <f t="shared" si="3"/>
        <v>0</v>
      </c>
      <c r="Z53" s="70"/>
      <c r="AA53" s="13">
        <f t="shared" si="4"/>
        <v>0</v>
      </c>
      <c r="AB53" s="13"/>
      <c r="AC53" s="8"/>
      <c r="AF53" s="9" t="s">
        <v>266</v>
      </c>
      <c r="AG53" s="196"/>
      <c r="AI53" s="4" t="s">
        <v>364</v>
      </c>
      <c r="AL53" s="201"/>
    </row>
    <row r="54" spans="1:38" ht="21" customHeight="1" x14ac:dyDescent="0.55000000000000004">
      <c r="A54" s="33" t="s">
        <v>260</v>
      </c>
      <c r="B54" s="1" t="s">
        <v>261</v>
      </c>
      <c r="C54" s="1" t="s">
        <v>267</v>
      </c>
      <c r="D54" s="1" t="s">
        <v>268</v>
      </c>
      <c r="E54" s="77" t="s">
        <v>374</v>
      </c>
      <c r="F54" s="80" t="s">
        <v>270</v>
      </c>
      <c r="G54" s="74" t="s">
        <v>9</v>
      </c>
      <c r="I54" s="89">
        <f>3500000*0.25+1500000*0.55+2500000*0.45</f>
        <v>2825000</v>
      </c>
      <c r="J54" s="82">
        <f>3500000*0.25+1500000*0.55+2500000*0.45</f>
        <v>2825000</v>
      </c>
      <c r="K54" s="82">
        <f>3500000*0.25+1500000*0.55+2500000*0.45</f>
        <v>2825000</v>
      </c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Y54" s="42">
        <f t="shared" si="3"/>
        <v>0</v>
      </c>
      <c r="Z54" s="70"/>
      <c r="AA54" s="13">
        <f t="shared" si="4"/>
        <v>0</v>
      </c>
      <c r="AB54" s="13"/>
      <c r="AC54" s="8"/>
      <c r="AF54" s="9" t="s">
        <v>365</v>
      </c>
      <c r="AG54" s="35" t="e">
        <f>AI60/AJ60</f>
        <v>#REF!</v>
      </c>
      <c r="AH54" s="67" t="s">
        <v>176</v>
      </c>
      <c r="AI54" s="67" t="s">
        <v>177</v>
      </c>
      <c r="AJ54" s="67" t="s">
        <v>53</v>
      </c>
      <c r="AK54" s="67" t="s">
        <v>96</v>
      </c>
      <c r="AL54" s="201"/>
    </row>
    <row r="55" spans="1:38" ht="21" customHeight="1" x14ac:dyDescent="0.55000000000000004">
      <c r="A55" s="33" t="s">
        <v>260</v>
      </c>
      <c r="B55" s="1" t="s">
        <v>272</v>
      </c>
      <c r="C55" s="2" t="s">
        <v>273</v>
      </c>
      <c r="D55" s="1" t="s">
        <v>108</v>
      </c>
      <c r="E55" s="77" t="s">
        <v>274</v>
      </c>
      <c r="F55" s="92" t="s">
        <v>275</v>
      </c>
      <c r="G55" s="2" t="s">
        <v>122</v>
      </c>
      <c r="I55" s="83">
        <v>0</v>
      </c>
      <c r="J55" s="82">
        <v>0</v>
      </c>
      <c r="K55" s="82">
        <v>0</v>
      </c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Y55" s="42">
        <f t="shared" si="3"/>
        <v>0</v>
      </c>
      <c r="Z55" s="70"/>
      <c r="AA55" s="13">
        <f t="shared" si="4"/>
        <v>0</v>
      </c>
      <c r="AB55" s="13"/>
      <c r="AC55" s="8"/>
      <c r="AF55" s="9" t="s">
        <v>65</v>
      </c>
      <c r="AG55" s="35" t="e">
        <f>AI64/AK64</f>
        <v>#REF!</v>
      </c>
      <c r="AH55" s="19" t="s">
        <v>179</v>
      </c>
      <c r="AI55" s="68" t="e">
        <f>SUMIF($G$53:$G$75,AH55,$Y$53:$Y$75)+#REF!</f>
        <v>#REF!</v>
      </c>
      <c r="AJ55" s="111"/>
      <c r="AK55" s="111"/>
      <c r="AL55" s="201"/>
    </row>
    <row r="56" spans="1:38" ht="21" customHeight="1" x14ac:dyDescent="0.55000000000000004">
      <c r="A56" s="33" t="s">
        <v>260</v>
      </c>
      <c r="B56" s="1" t="s">
        <v>272</v>
      </c>
      <c r="C56" s="2" t="s">
        <v>276</v>
      </c>
      <c r="D56" s="1" t="s">
        <v>108</v>
      </c>
      <c r="E56" s="77" t="s">
        <v>375</v>
      </c>
      <c r="F56" s="92" t="s">
        <v>275</v>
      </c>
      <c r="G56" s="2" t="s">
        <v>122</v>
      </c>
      <c r="I56" s="83">
        <v>0</v>
      </c>
      <c r="J56" s="82">
        <v>0</v>
      </c>
      <c r="K56" s="82">
        <v>0</v>
      </c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Y56" s="42">
        <f t="shared" si="3"/>
        <v>0</v>
      </c>
      <c r="Z56" s="70"/>
      <c r="AA56" s="13">
        <f t="shared" si="4"/>
        <v>0</v>
      </c>
      <c r="AB56" s="13"/>
      <c r="AC56" s="8"/>
      <c r="AF56" s="196"/>
      <c r="AG56" s="196"/>
      <c r="AH56" s="19" t="s">
        <v>181</v>
      </c>
      <c r="AI56" s="68">
        <f>SUMIF($G$53:$G$73,AH56,$Y$53:$Y$73)</f>
        <v>0</v>
      </c>
      <c r="AJ56" s="111"/>
      <c r="AK56" s="111"/>
      <c r="AL56" s="201"/>
    </row>
    <row r="57" spans="1:38" ht="21" customHeight="1" x14ac:dyDescent="0.55000000000000004">
      <c r="A57" s="33" t="s">
        <v>260</v>
      </c>
      <c r="B57" s="4" t="s">
        <v>278</v>
      </c>
      <c r="C57" s="2" t="s">
        <v>279</v>
      </c>
      <c r="D57" s="1" t="s">
        <v>108</v>
      </c>
      <c r="E57" s="77" t="s">
        <v>376</v>
      </c>
      <c r="F57" s="92" t="s">
        <v>281</v>
      </c>
      <c r="G57" s="2" t="s">
        <v>122</v>
      </c>
      <c r="I57" s="83">
        <v>0</v>
      </c>
      <c r="J57" s="82">
        <v>0</v>
      </c>
      <c r="K57" s="82">
        <v>0</v>
      </c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Y57" s="42">
        <f t="shared" si="3"/>
        <v>0</v>
      </c>
      <c r="Z57" s="70"/>
      <c r="AA57" s="13">
        <f t="shared" si="4"/>
        <v>0</v>
      </c>
      <c r="AB57" s="13"/>
      <c r="AC57" s="8"/>
      <c r="AF57" s="196"/>
      <c r="AG57" s="196"/>
      <c r="AH57" s="19" t="s">
        <v>27</v>
      </c>
      <c r="AI57" s="68">
        <f>SUMIF($G$53:$G$73,AH57,$Y$53:$Y$73)</f>
        <v>0</v>
      </c>
      <c r="AJ57" s="111"/>
      <c r="AK57" s="111"/>
      <c r="AL57" s="201"/>
    </row>
    <row r="58" spans="1:38" ht="21" customHeight="1" x14ac:dyDescent="0.55000000000000004">
      <c r="A58" s="33" t="s">
        <v>260</v>
      </c>
      <c r="B58" s="1" t="s">
        <v>282</v>
      </c>
      <c r="C58" s="182" t="s">
        <v>283</v>
      </c>
      <c r="D58" s="1" t="s">
        <v>108</v>
      </c>
      <c r="E58" s="77" t="s">
        <v>377</v>
      </c>
      <c r="F58" s="80" t="s">
        <v>285</v>
      </c>
      <c r="G58" s="2" t="s">
        <v>122</v>
      </c>
      <c r="I58" s="83">
        <v>0</v>
      </c>
      <c r="J58" s="82">
        <v>0</v>
      </c>
      <c r="K58" s="82">
        <v>0</v>
      </c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Y58" s="42">
        <f t="shared" si="3"/>
        <v>0</v>
      </c>
      <c r="Z58" s="70"/>
      <c r="AA58" s="13">
        <f t="shared" si="4"/>
        <v>0</v>
      </c>
      <c r="AB58" s="13"/>
      <c r="AC58" s="8"/>
      <c r="AF58" s="196"/>
      <c r="AG58" s="196"/>
      <c r="AH58" s="19" t="s">
        <v>186</v>
      </c>
      <c r="AI58" s="68">
        <f ca="1">SUMIF($G$53:$Q$75,AH58,$Y$53:$Y$73)</f>
        <v>0</v>
      </c>
      <c r="AJ58" s="111"/>
      <c r="AK58" s="111"/>
      <c r="AL58" s="201"/>
    </row>
    <row r="59" spans="1:38" ht="21" customHeight="1" x14ac:dyDescent="0.55000000000000004">
      <c r="A59" s="33" t="s">
        <v>260</v>
      </c>
      <c r="B59" s="1" t="s">
        <v>286</v>
      </c>
      <c r="C59" s="1" t="s">
        <v>287</v>
      </c>
      <c r="D59" s="1" t="s">
        <v>89</v>
      </c>
      <c r="E59" s="78" t="s">
        <v>378</v>
      </c>
      <c r="F59" s="183" t="s">
        <v>285</v>
      </c>
      <c r="G59" s="1" t="s">
        <v>181</v>
      </c>
      <c r="I59" s="83">
        <v>0</v>
      </c>
      <c r="J59" s="82">
        <f>3700000/2</f>
        <v>1850000</v>
      </c>
      <c r="K59" s="82">
        <f>3700000/2</f>
        <v>1850000</v>
      </c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Y59" s="42">
        <f t="shared" si="3"/>
        <v>0</v>
      </c>
      <c r="Z59" s="70"/>
      <c r="AA59" s="13">
        <f t="shared" si="4"/>
        <v>0</v>
      </c>
      <c r="AB59" s="13"/>
      <c r="AC59" s="8"/>
      <c r="AF59" s="196"/>
      <c r="AG59" s="196"/>
      <c r="AH59" s="19" t="s">
        <v>191</v>
      </c>
      <c r="AI59" s="68">
        <f>SUMIF($G$53:$G$72,AH59,$Y$53:$Y$72)</f>
        <v>0</v>
      </c>
      <c r="AJ59" s="111"/>
      <c r="AK59" s="111"/>
      <c r="AL59" s="201"/>
    </row>
    <row r="60" spans="1:38" ht="21" customHeight="1" x14ac:dyDescent="0.55000000000000004">
      <c r="A60" s="33" t="s">
        <v>260</v>
      </c>
      <c r="B60" s="180" t="s">
        <v>289</v>
      </c>
      <c r="C60" s="1" t="s">
        <v>290</v>
      </c>
      <c r="D60" s="1" t="s">
        <v>108</v>
      </c>
      <c r="E60" s="77" t="s">
        <v>379</v>
      </c>
      <c r="F60" s="80" t="s">
        <v>292</v>
      </c>
      <c r="G60" s="74" t="s">
        <v>9</v>
      </c>
      <c r="I60" s="83">
        <v>2500000</v>
      </c>
      <c r="J60" s="82">
        <v>2500000</v>
      </c>
      <c r="K60" s="82">
        <v>2500000</v>
      </c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Y60" s="42">
        <f t="shared" si="3"/>
        <v>0</v>
      </c>
      <c r="Z60" s="70"/>
      <c r="AA60" s="13">
        <f t="shared" si="4"/>
        <v>0</v>
      </c>
      <c r="AB60" s="13"/>
      <c r="AC60" s="13"/>
      <c r="AF60" s="196"/>
      <c r="AG60" s="196"/>
      <c r="AH60" s="219" t="s">
        <v>127</v>
      </c>
      <c r="AI60" s="24" t="e">
        <f>SUM(AI55:AI59)</f>
        <v>#REF!</v>
      </c>
      <c r="AJ60" s="24">
        <v>99522437</v>
      </c>
      <c r="AK60" s="111"/>
      <c r="AL60" s="201"/>
    </row>
    <row r="61" spans="1:38" ht="21" x14ac:dyDescent="0.55000000000000004">
      <c r="A61" s="33" t="s">
        <v>294</v>
      </c>
      <c r="B61" s="4" t="s">
        <v>295</v>
      </c>
      <c r="C61" s="1" t="s">
        <v>296</v>
      </c>
      <c r="D61" s="1" t="s">
        <v>108</v>
      </c>
      <c r="E61" s="77" t="s">
        <v>90</v>
      </c>
      <c r="F61" s="92" t="s">
        <v>297</v>
      </c>
      <c r="G61" s="74" t="s">
        <v>175</v>
      </c>
      <c r="I61" s="83"/>
      <c r="J61" s="82">
        <v>0</v>
      </c>
      <c r="K61" s="82">
        <v>0</v>
      </c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Y61" s="42">
        <f t="shared" si="3"/>
        <v>0</v>
      </c>
      <c r="Z61" s="70"/>
      <c r="AA61" s="13">
        <f t="shared" si="4"/>
        <v>0</v>
      </c>
      <c r="AB61" s="13"/>
      <c r="AC61" s="8"/>
      <c r="AF61" s="196"/>
      <c r="AG61" s="196"/>
      <c r="AK61" s="201"/>
      <c r="AL61" s="201"/>
    </row>
    <row r="62" spans="1:38" ht="21" x14ac:dyDescent="0.55000000000000004">
      <c r="A62" s="33" t="s">
        <v>294</v>
      </c>
      <c r="B62" s="1" t="s">
        <v>295</v>
      </c>
      <c r="C62" s="1" t="s">
        <v>298</v>
      </c>
      <c r="D62" s="1" t="s">
        <v>108</v>
      </c>
      <c r="E62" s="77" t="s">
        <v>299</v>
      </c>
      <c r="F62" s="92" t="s">
        <v>297</v>
      </c>
      <c r="G62" s="74" t="s">
        <v>175</v>
      </c>
      <c r="I62" s="83">
        <v>2930000</v>
      </c>
      <c r="J62" s="82"/>
      <c r="K62" s="82">
        <v>0</v>
      </c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Y62" s="42">
        <f t="shared" si="3"/>
        <v>0</v>
      </c>
      <c r="Z62" s="70"/>
      <c r="AA62" s="13">
        <f t="shared" si="4"/>
        <v>0</v>
      </c>
      <c r="AB62" s="13"/>
      <c r="AC62" s="8"/>
      <c r="AH62" s="219" t="s">
        <v>135</v>
      </c>
      <c r="AI62" s="24"/>
      <c r="AJ62" s="111"/>
      <c r="AK62" s="111"/>
      <c r="AL62" s="201"/>
    </row>
    <row r="63" spans="1:38" ht="21" customHeight="1" x14ac:dyDescent="0.55000000000000004">
      <c r="A63" s="33" t="s">
        <v>260</v>
      </c>
      <c r="B63" s="1" t="s">
        <v>256</v>
      </c>
      <c r="C63" s="1" t="s">
        <v>300</v>
      </c>
      <c r="D63" s="1" t="s">
        <v>108</v>
      </c>
      <c r="E63" s="77" t="s">
        <v>380</v>
      </c>
      <c r="F63" s="80" t="s">
        <v>285</v>
      </c>
      <c r="G63" s="74" t="s">
        <v>175</v>
      </c>
      <c r="I63" s="83">
        <v>1800000</v>
      </c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Y63" s="42">
        <f t="shared" si="3"/>
        <v>0</v>
      </c>
      <c r="Z63" s="70"/>
      <c r="AA63" s="13">
        <f t="shared" si="4"/>
        <v>0</v>
      </c>
      <c r="AB63" s="13"/>
      <c r="AC63" s="8"/>
      <c r="AL63" s="201"/>
    </row>
    <row r="64" spans="1:38" ht="21" customHeight="1" x14ac:dyDescent="0.55000000000000004">
      <c r="A64" s="33" t="s">
        <v>260</v>
      </c>
      <c r="B64" s="31" t="s">
        <v>256</v>
      </c>
      <c r="C64" s="1" t="s">
        <v>300</v>
      </c>
      <c r="D64" s="1" t="s">
        <v>89</v>
      </c>
      <c r="E64" s="78" t="s">
        <v>381</v>
      </c>
      <c r="F64" s="81" t="s">
        <v>285</v>
      </c>
      <c r="G64" s="43" t="s">
        <v>11</v>
      </c>
      <c r="I64" s="89"/>
      <c r="J64" s="82">
        <v>3000000</v>
      </c>
      <c r="K64" s="82">
        <v>3000000</v>
      </c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Y64" s="8">
        <f t="shared" si="3"/>
        <v>0</v>
      </c>
      <c r="Z64" s="70"/>
      <c r="AA64" s="13">
        <f t="shared" si="4"/>
        <v>0</v>
      </c>
      <c r="AB64" s="13"/>
      <c r="AC64" s="8"/>
      <c r="AH64" s="219" t="s">
        <v>143</v>
      </c>
      <c r="AI64" s="24" t="e">
        <f>AI60+AI62</f>
        <v>#REF!</v>
      </c>
      <c r="AJ64" s="111"/>
      <c r="AK64" s="24">
        <v>100000000</v>
      </c>
      <c r="AL64" s="201"/>
    </row>
    <row r="65" spans="1:38" ht="21" customHeight="1" x14ac:dyDescent="0.55000000000000004">
      <c r="A65" s="33" t="s">
        <v>260</v>
      </c>
      <c r="B65" s="1" t="s">
        <v>303</v>
      </c>
      <c r="C65" s="1" t="s">
        <v>304</v>
      </c>
      <c r="D65" s="1" t="s">
        <v>108</v>
      </c>
      <c r="E65" s="77" t="s">
        <v>305</v>
      </c>
      <c r="F65" s="80" t="s">
        <v>275</v>
      </c>
      <c r="G65" s="2" t="s">
        <v>122</v>
      </c>
      <c r="I65" s="83">
        <v>0</v>
      </c>
      <c r="J65" s="82">
        <v>0</v>
      </c>
      <c r="K65" s="82">
        <v>0</v>
      </c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Y65" s="42">
        <f t="shared" si="3"/>
        <v>0</v>
      </c>
      <c r="Z65" s="70"/>
      <c r="AA65" s="13">
        <f t="shared" si="4"/>
        <v>0</v>
      </c>
      <c r="AB65" s="13"/>
      <c r="AC65" s="8"/>
      <c r="AL65" s="201"/>
    </row>
    <row r="66" spans="1:38" ht="21" customHeight="1" x14ac:dyDescent="0.55000000000000004">
      <c r="A66" s="33" t="s">
        <v>260</v>
      </c>
      <c r="B66" s="31" t="s">
        <v>306</v>
      </c>
      <c r="C66" s="1" t="s">
        <v>307</v>
      </c>
      <c r="D66" s="1" t="s">
        <v>108</v>
      </c>
      <c r="E66" s="165" t="s">
        <v>382</v>
      </c>
      <c r="F66" s="81" t="s">
        <v>275</v>
      </c>
      <c r="G66" s="31" t="s">
        <v>186</v>
      </c>
      <c r="I66" s="83">
        <v>0</v>
      </c>
      <c r="J66" s="82">
        <f>600000+1500000*0.5</f>
        <v>1350000</v>
      </c>
      <c r="K66" s="82">
        <f>600000+1500000*0.5</f>
        <v>1350000</v>
      </c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Y66" s="8">
        <f t="shared" si="3"/>
        <v>0</v>
      </c>
      <c r="Z66" s="70"/>
      <c r="AA66" s="13">
        <f t="shared" si="4"/>
        <v>0</v>
      </c>
      <c r="AB66" s="13"/>
      <c r="AC66" s="8"/>
      <c r="AL66" s="201"/>
    </row>
    <row r="67" spans="1:38" ht="21" customHeight="1" x14ac:dyDescent="0.55000000000000004">
      <c r="A67" s="33" t="s">
        <v>260</v>
      </c>
      <c r="B67" s="180" t="s">
        <v>309</v>
      </c>
      <c r="C67" s="1" t="s">
        <v>310</v>
      </c>
      <c r="D67" s="1" t="s">
        <v>108</v>
      </c>
      <c r="E67" s="77" t="s">
        <v>383</v>
      </c>
      <c r="F67" s="80" t="s">
        <v>275</v>
      </c>
      <c r="G67" s="74" t="s">
        <v>175</v>
      </c>
      <c r="I67" s="83">
        <v>0</v>
      </c>
      <c r="J67" s="82">
        <v>0</v>
      </c>
      <c r="K67" s="82">
        <v>0</v>
      </c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Y67" s="42">
        <f t="shared" si="3"/>
        <v>0</v>
      </c>
      <c r="Z67" s="70"/>
      <c r="AA67" s="13">
        <f t="shared" si="4"/>
        <v>0</v>
      </c>
      <c r="AB67" s="13"/>
      <c r="AC67" s="8"/>
      <c r="AF67" s="199" t="s">
        <v>312</v>
      </c>
      <c r="AG67" s="199"/>
      <c r="AI67" s="4" t="s">
        <v>384</v>
      </c>
      <c r="AL67" s="201"/>
    </row>
    <row r="68" spans="1:38" ht="21" customHeight="1" x14ac:dyDescent="0.55000000000000004">
      <c r="A68" s="33" t="s">
        <v>260</v>
      </c>
      <c r="B68" s="1" t="s">
        <v>314</v>
      </c>
      <c r="C68" s="2" t="s">
        <v>315</v>
      </c>
      <c r="D68" s="1" t="s">
        <v>108</v>
      </c>
      <c r="E68" s="77" t="s">
        <v>316</v>
      </c>
      <c r="F68" s="80" t="s">
        <v>275</v>
      </c>
      <c r="G68" s="2" t="s">
        <v>122</v>
      </c>
      <c r="I68" s="83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Y68" s="42">
        <f t="shared" si="3"/>
        <v>0</v>
      </c>
      <c r="Z68" s="70"/>
      <c r="AA68" s="13">
        <f t="shared" si="4"/>
        <v>0</v>
      </c>
      <c r="AB68" s="13"/>
      <c r="AC68" s="13"/>
      <c r="AF68" s="9" t="s">
        <v>365</v>
      </c>
      <c r="AG68" s="35" t="e">
        <f>AI78/AJ78</f>
        <v>#REF!</v>
      </c>
      <c r="AH68" s="67" t="s">
        <v>176</v>
      </c>
      <c r="AI68" s="67" t="s">
        <v>177</v>
      </c>
      <c r="AJ68" s="67" t="s">
        <v>53</v>
      </c>
      <c r="AK68" s="67" t="s">
        <v>96</v>
      </c>
      <c r="AL68" s="201"/>
    </row>
    <row r="69" spans="1:38" ht="21" customHeight="1" x14ac:dyDescent="0.55000000000000004">
      <c r="A69" s="33" t="s">
        <v>260</v>
      </c>
      <c r="B69" s="1" t="s">
        <v>317</v>
      </c>
      <c r="C69" s="2" t="s">
        <v>318</v>
      </c>
      <c r="D69" s="1" t="s">
        <v>89</v>
      </c>
      <c r="E69" s="77" t="s">
        <v>319</v>
      </c>
      <c r="F69" s="92" t="s">
        <v>281</v>
      </c>
      <c r="G69" s="2" t="s">
        <v>122</v>
      </c>
      <c r="I69" s="83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Y69" s="42">
        <f t="shared" ref="Y69:Y76" si="5">SUM(L69:X69)</f>
        <v>0</v>
      </c>
      <c r="Z69" s="70"/>
      <c r="AA69" s="13">
        <f t="shared" si="4"/>
        <v>0</v>
      </c>
      <c r="AB69" s="13"/>
      <c r="AC69" s="8"/>
      <c r="AF69" s="9" t="s">
        <v>65</v>
      </c>
      <c r="AG69" s="35" t="e">
        <f>AI78/AK78</f>
        <v>#REF!</v>
      </c>
      <c r="AH69" s="19" t="s">
        <v>179</v>
      </c>
      <c r="AI69" s="68" t="e">
        <f>AI6+AI30+AI55</f>
        <v>#REF!</v>
      </c>
      <c r="AJ69" s="111"/>
      <c r="AK69" s="111"/>
      <c r="AL69" s="201"/>
    </row>
    <row r="70" spans="1:38" ht="21" customHeight="1" x14ac:dyDescent="0.55000000000000004">
      <c r="A70" s="33" t="s">
        <v>260</v>
      </c>
      <c r="B70" s="1" t="s">
        <v>317</v>
      </c>
      <c r="C70" s="1" t="s">
        <v>320</v>
      </c>
      <c r="D70" s="1" t="s">
        <v>89</v>
      </c>
      <c r="E70" s="77" t="s">
        <v>385</v>
      </c>
      <c r="F70" s="92" t="s">
        <v>322</v>
      </c>
      <c r="G70" s="2" t="s">
        <v>179</v>
      </c>
      <c r="I70" s="83">
        <f>1300000</f>
        <v>1300000</v>
      </c>
      <c r="J70" s="82">
        <f>1300000</f>
        <v>1300000</v>
      </c>
      <c r="K70" s="82">
        <f>3500000*0.1+3000000*0.15</f>
        <v>800000</v>
      </c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Y70" s="42">
        <f t="shared" si="5"/>
        <v>0</v>
      </c>
      <c r="Z70" s="70"/>
      <c r="AA70" s="13">
        <f t="shared" si="4"/>
        <v>0</v>
      </c>
      <c r="AB70" s="13"/>
      <c r="AC70" s="8"/>
      <c r="AH70" s="19" t="s">
        <v>181</v>
      </c>
      <c r="AI70" s="68">
        <f>AI7+AI31+AI56</f>
        <v>0</v>
      </c>
      <c r="AJ70" s="111"/>
      <c r="AK70" s="111"/>
      <c r="AL70" s="201"/>
    </row>
    <row r="71" spans="1:38" ht="21" customHeight="1" x14ac:dyDescent="0.55000000000000004">
      <c r="A71" s="33" t="s">
        <v>260</v>
      </c>
      <c r="B71" s="4" t="s">
        <v>325</v>
      </c>
      <c r="C71" s="2" t="s">
        <v>326</v>
      </c>
      <c r="D71" s="1" t="s">
        <v>108</v>
      </c>
      <c r="E71" s="77" t="s">
        <v>327</v>
      </c>
      <c r="F71" s="92" t="s">
        <v>328</v>
      </c>
      <c r="G71" s="2" t="s">
        <v>122</v>
      </c>
      <c r="I71" s="168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Y71" s="42">
        <f t="shared" si="5"/>
        <v>0</v>
      </c>
      <c r="Z71" s="70"/>
      <c r="AA71" s="13">
        <f t="shared" si="4"/>
        <v>0</v>
      </c>
      <c r="AB71" s="13"/>
      <c r="AC71" s="8"/>
      <c r="AH71" s="19" t="s">
        <v>27</v>
      </c>
      <c r="AI71" s="68">
        <f>AI8+AI32+AI57</f>
        <v>0</v>
      </c>
      <c r="AJ71" s="111"/>
      <c r="AK71" s="111"/>
    </row>
    <row r="72" spans="1:38" ht="21" customHeight="1" x14ac:dyDescent="0.55000000000000004">
      <c r="A72" s="33" t="s">
        <v>260</v>
      </c>
      <c r="B72" s="31" t="s">
        <v>329</v>
      </c>
      <c r="C72" s="1" t="s">
        <v>330</v>
      </c>
      <c r="D72" s="41" t="s">
        <v>89</v>
      </c>
      <c r="E72" s="77" t="s">
        <v>90</v>
      </c>
      <c r="F72" s="80" t="s">
        <v>331</v>
      </c>
      <c r="G72" s="74" t="s">
        <v>175</v>
      </c>
      <c r="I72" s="83">
        <v>775000.00000000012</v>
      </c>
      <c r="J72" s="82">
        <v>1250000</v>
      </c>
      <c r="K72" s="82">
        <v>1250000</v>
      </c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Y72" s="8">
        <f t="shared" si="5"/>
        <v>0</v>
      </c>
      <c r="Z72" s="70"/>
      <c r="AA72" s="13">
        <f t="shared" si="4"/>
        <v>0</v>
      </c>
      <c r="AB72" s="13"/>
      <c r="AC72" s="8"/>
      <c r="AH72" s="19" t="s">
        <v>186</v>
      </c>
      <c r="AI72" s="68">
        <f ca="1">AI9+AI33+AI58</f>
        <v>0</v>
      </c>
      <c r="AJ72" s="111"/>
      <c r="AK72" s="111"/>
    </row>
    <row r="73" spans="1:38" ht="21" customHeight="1" x14ac:dyDescent="0.55000000000000004">
      <c r="A73" s="33" t="s">
        <v>260</v>
      </c>
      <c r="B73" s="204" t="s">
        <v>334</v>
      </c>
      <c r="C73" s="74" t="s">
        <v>335</v>
      </c>
      <c r="D73" s="41" t="s">
        <v>108</v>
      </c>
      <c r="E73" s="77" t="s">
        <v>336</v>
      </c>
      <c r="F73" s="80" t="s">
        <v>285</v>
      </c>
      <c r="G73" s="2" t="s">
        <v>122</v>
      </c>
      <c r="I73" s="83">
        <v>0</v>
      </c>
      <c r="J73" s="82">
        <v>0</v>
      </c>
      <c r="K73" s="82">
        <v>0</v>
      </c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Y73" s="42">
        <f t="shared" si="5"/>
        <v>0</v>
      </c>
      <c r="Z73" s="70"/>
      <c r="AA73" s="13">
        <f t="shared" si="4"/>
        <v>0</v>
      </c>
      <c r="AB73" s="13"/>
      <c r="AC73" s="8"/>
      <c r="AH73" s="19" t="s">
        <v>191</v>
      </c>
      <c r="AI73" s="68">
        <f>AI10+AI34+AI59</f>
        <v>0</v>
      </c>
      <c r="AJ73" s="111"/>
      <c r="AK73" s="111"/>
    </row>
    <row r="74" spans="1:38" ht="21" customHeight="1" x14ac:dyDescent="0.55000000000000004">
      <c r="A74" s="33" t="s">
        <v>260</v>
      </c>
      <c r="B74" s="180" t="s">
        <v>165</v>
      </c>
      <c r="C74" s="43"/>
      <c r="E74" s="78"/>
      <c r="F74" s="81"/>
      <c r="I74" s="96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Y74" s="1">
        <f t="shared" si="5"/>
        <v>0</v>
      </c>
      <c r="Z74" s="8"/>
      <c r="AA74" s="13"/>
      <c r="AB74" s="13"/>
      <c r="AC74" s="8"/>
      <c r="AH74" s="219" t="s">
        <v>127</v>
      </c>
      <c r="AI74" s="24" t="e">
        <f>SUM(AI69:AI73)</f>
        <v>#REF!</v>
      </c>
      <c r="AJ74" s="24">
        <v>466835771.25</v>
      </c>
      <c r="AK74" s="111"/>
    </row>
    <row r="75" spans="1:38" ht="21" customHeight="1" x14ac:dyDescent="0.55000000000000004">
      <c r="A75" s="33" t="s">
        <v>260</v>
      </c>
      <c r="B75" s="1" t="s">
        <v>337</v>
      </c>
      <c r="C75" s="1" t="s">
        <v>338</v>
      </c>
      <c r="D75" s="41" t="s">
        <v>108</v>
      </c>
      <c r="E75" s="77" t="s">
        <v>339</v>
      </c>
      <c r="F75" s="80" t="s">
        <v>281</v>
      </c>
      <c r="G75" s="74" t="s">
        <v>103</v>
      </c>
      <c r="I75" s="89">
        <v>600000</v>
      </c>
      <c r="J75" s="82">
        <v>600000</v>
      </c>
      <c r="K75" s="82">
        <v>600000</v>
      </c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Y75" s="42">
        <f t="shared" si="5"/>
        <v>0</v>
      </c>
      <c r="Z75" s="70"/>
      <c r="AA75" s="13">
        <f>Y75-Z75</f>
        <v>0</v>
      </c>
      <c r="AB75" s="13"/>
      <c r="AC75" s="8"/>
      <c r="AK75" s="201"/>
    </row>
    <row r="76" spans="1:38" ht="21" customHeight="1" x14ac:dyDescent="0.55000000000000004">
      <c r="A76" s="33" t="s">
        <v>260</v>
      </c>
      <c r="B76" s="1" t="s">
        <v>340</v>
      </c>
      <c r="C76" s="181" t="s">
        <v>341</v>
      </c>
      <c r="D76" s="41" t="s">
        <v>108</v>
      </c>
      <c r="E76" s="77" t="s">
        <v>386</v>
      </c>
      <c r="F76" s="80" t="s">
        <v>281</v>
      </c>
      <c r="G76" s="74" t="s">
        <v>225</v>
      </c>
      <c r="I76" s="216">
        <f>6650000/5</f>
        <v>1330000</v>
      </c>
      <c r="J76" s="82">
        <f>6650000/5*2</f>
        <v>2660000</v>
      </c>
      <c r="K76" s="82">
        <f>6650000/5*2</f>
        <v>2660000</v>
      </c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Y76" s="42">
        <f t="shared" si="5"/>
        <v>0</v>
      </c>
      <c r="Z76" s="70"/>
      <c r="AA76" s="13">
        <f>Y76-Z76</f>
        <v>0</v>
      </c>
      <c r="AB76" s="13"/>
      <c r="AC76" s="8"/>
      <c r="AH76" s="219" t="s">
        <v>135</v>
      </c>
      <c r="AI76" s="24"/>
      <c r="AJ76" s="24"/>
      <c r="AK76" s="111"/>
    </row>
    <row r="77" spans="1:38" ht="21" x14ac:dyDescent="0.55000000000000004">
      <c r="A77" s="33" t="s">
        <v>260</v>
      </c>
      <c r="B77" s="1" t="s">
        <v>343</v>
      </c>
      <c r="C77" s="181" t="s">
        <v>343</v>
      </c>
      <c r="D77" s="41" t="s">
        <v>108</v>
      </c>
      <c r="E77" s="6" t="s">
        <v>387</v>
      </c>
      <c r="G77" s="1" t="s">
        <v>186</v>
      </c>
      <c r="I77" s="96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Y77" s="25"/>
    </row>
    <row r="78" spans="1:38" ht="21" x14ac:dyDescent="0.55000000000000004">
      <c r="A78" s="33" t="s">
        <v>260</v>
      </c>
      <c r="B78" s="1" t="s">
        <v>345</v>
      </c>
      <c r="C78" s="181" t="s">
        <v>345</v>
      </c>
      <c r="D78" s="41" t="s">
        <v>108</v>
      </c>
      <c r="E78" s="6" t="s">
        <v>388</v>
      </c>
      <c r="G78" s="1" t="s">
        <v>186</v>
      </c>
      <c r="I78" s="96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Y78" s="25"/>
      <c r="AH78" s="219" t="s">
        <v>143</v>
      </c>
      <c r="AI78" s="24" t="e">
        <f>AI74+AI76</f>
        <v>#REF!</v>
      </c>
      <c r="AJ78" s="24">
        <f>AJ74+AJ76</f>
        <v>466835771.25</v>
      </c>
      <c r="AK78" s="24">
        <v>400000000</v>
      </c>
    </row>
    <row r="79" spans="1:38" ht="20.25" customHeight="1" x14ac:dyDescent="0.55000000000000004">
      <c r="A79" s="32" t="s">
        <v>157</v>
      </c>
      <c r="B79" s="1" t="s">
        <v>347</v>
      </c>
      <c r="C79" s="1" t="s">
        <v>347</v>
      </c>
      <c r="D79" s="41" t="s">
        <v>108</v>
      </c>
      <c r="E79" s="6" t="s">
        <v>348</v>
      </c>
      <c r="G79" s="1" t="s">
        <v>349</v>
      </c>
      <c r="I79" s="96"/>
    </row>
    <row r="80" spans="1:38" ht="20.25" customHeight="1" x14ac:dyDescent="0.55000000000000004">
      <c r="A80" s="28" t="s">
        <v>207</v>
      </c>
      <c r="B80" s="1" t="s">
        <v>350</v>
      </c>
      <c r="C80" s="1" t="s">
        <v>350</v>
      </c>
      <c r="D80" s="41" t="s">
        <v>108</v>
      </c>
      <c r="E80" s="6" t="s">
        <v>348</v>
      </c>
      <c r="G80" s="1" t="s">
        <v>349</v>
      </c>
      <c r="I80" s="96"/>
    </row>
    <row r="81" spans="1:9" ht="20.25" customHeight="1" x14ac:dyDescent="0.55000000000000004">
      <c r="A81" s="33" t="s">
        <v>260</v>
      </c>
      <c r="B81" s="1" t="s">
        <v>351</v>
      </c>
      <c r="C81" s="1" t="s">
        <v>351</v>
      </c>
      <c r="D81" s="1" t="s">
        <v>108</v>
      </c>
      <c r="E81" s="6"/>
      <c r="G81" s="1" t="s">
        <v>349</v>
      </c>
      <c r="I81" s="96"/>
    </row>
    <row r="82" spans="1:9" ht="20.25" customHeight="1" x14ac:dyDescent="0.55000000000000004">
      <c r="A82" s="33" t="s">
        <v>260</v>
      </c>
      <c r="B82" s="1" t="s">
        <v>352</v>
      </c>
      <c r="C82" s="1" t="s">
        <v>352</v>
      </c>
      <c r="D82" s="1" t="s">
        <v>108</v>
      </c>
      <c r="E82" s="6" t="s">
        <v>353</v>
      </c>
      <c r="G82" s="1" t="s">
        <v>349</v>
      </c>
      <c r="I82" s="96"/>
    </row>
    <row r="83" spans="1:9" ht="20.25" customHeight="1" x14ac:dyDescent="0.55000000000000004">
      <c r="A83" s="33" t="s">
        <v>260</v>
      </c>
      <c r="B83" s="1" t="s">
        <v>354</v>
      </c>
      <c r="C83" s="5" t="s">
        <v>355</v>
      </c>
      <c r="D83" s="1" t="s">
        <v>108</v>
      </c>
      <c r="E83" s="6" t="s">
        <v>356</v>
      </c>
      <c r="G83" s="1" t="s">
        <v>349</v>
      </c>
      <c r="I83" s="96"/>
    </row>
    <row r="84" spans="1:9" ht="20.25" customHeight="1" x14ac:dyDescent="0.55000000000000004">
      <c r="A84" s="33" t="s">
        <v>260</v>
      </c>
      <c r="B84" s="1" t="s">
        <v>357</v>
      </c>
      <c r="C84" s="5" t="s">
        <v>355</v>
      </c>
      <c r="D84" s="1" t="s">
        <v>108</v>
      </c>
      <c r="E84" s="6" t="s">
        <v>356</v>
      </c>
      <c r="G84" s="1" t="s">
        <v>349</v>
      </c>
      <c r="I84" s="96"/>
    </row>
  </sheetData>
  <autoFilter ref="A1:AC84" xr:uid="{00000000-0001-0000-0000-000000000000}"/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B7B9-0D18-4DD2-B800-59C2329DC0E7}">
  <dimension ref="A2:L39"/>
  <sheetViews>
    <sheetView workbookViewId="0">
      <selection activeCell="D10" sqref="D10"/>
    </sheetView>
  </sheetViews>
  <sheetFormatPr defaultRowHeight="18" x14ac:dyDescent="0.55000000000000004"/>
  <cols>
    <col min="1" max="1" width="52.58203125" bestFit="1" customWidth="1"/>
    <col min="2" max="2" width="29.75" customWidth="1"/>
    <col min="4" max="4" width="52.58203125" bestFit="1" customWidth="1"/>
    <col min="5" max="5" width="15.58203125" bestFit="1" customWidth="1"/>
    <col min="6" max="11" width="11.75" bestFit="1" customWidth="1"/>
    <col min="12" max="12" width="19.5" customWidth="1"/>
    <col min="13" max="14" width="24.75" customWidth="1"/>
  </cols>
  <sheetData>
    <row r="2" spans="1:12" x14ac:dyDescent="0.55000000000000004">
      <c r="B2" t="s">
        <v>389</v>
      </c>
    </row>
    <row r="3" spans="1:12" x14ac:dyDescent="0.55000000000000004">
      <c r="A3" s="141" t="s">
        <v>390</v>
      </c>
      <c r="B3" s="142" t="s">
        <v>391</v>
      </c>
      <c r="D3" s="141" t="s">
        <v>390</v>
      </c>
      <c r="E3" s="142" t="s">
        <v>391</v>
      </c>
      <c r="F3" s="142" t="s">
        <v>392</v>
      </c>
      <c r="G3" s="142" t="s">
        <v>393</v>
      </c>
      <c r="H3" s="142" t="s">
        <v>394</v>
      </c>
      <c r="I3" s="142" t="s">
        <v>395</v>
      </c>
      <c r="J3" s="142" t="s">
        <v>396</v>
      </c>
      <c r="K3" s="142" t="s">
        <v>397</v>
      </c>
      <c r="L3" s="154" t="s">
        <v>398</v>
      </c>
    </row>
    <row r="4" spans="1:12" x14ac:dyDescent="0.55000000000000004">
      <c r="A4" s="148" t="s">
        <v>399</v>
      </c>
      <c r="B4" s="149">
        <v>104238855</v>
      </c>
      <c r="D4" s="148" t="s">
        <v>399</v>
      </c>
      <c r="E4" s="155">
        <v>104238855</v>
      </c>
      <c r="F4" s="155">
        <v>6372260</v>
      </c>
      <c r="G4" s="155">
        <v>7142260</v>
      </c>
      <c r="H4" s="155">
        <v>11332410</v>
      </c>
      <c r="I4" s="155">
        <v>12330300</v>
      </c>
      <c r="J4" s="155">
        <v>9440600</v>
      </c>
      <c r="K4" s="155">
        <v>9440750</v>
      </c>
      <c r="L4" s="156">
        <f>SUM(F4:K4)</f>
        <v>56058580</v>
      </c>
    </row>
    <row r="5" spans="1:12" x14ac:dyDescent="0.55000000000000004">
      <c r="A5" s="150" t="s">
        <v>131</v>
      </c>
      <c r="B5" s="149">
        <v>600575</v>
      </c>
      <c r="D5" s="150" t="s">
        <v>131</v>
      </c>
      <c r="E5" s="155">
        <v>600575</v>
      </c>
      <c r="F5" s="155">
        <v>0</v>
      </c>
      <c r="G5" s="155">
        <v>0</v>
      </c>
      <c r="H5" s="155">
        <v>150</v>
      </c>
      <c r="I5" s="155">
        <v>0</v>
      </c>
      <c r="J5" s="155">
        <v>0</v>
      </c>
      <c r="K5" s="155">
        <v>150</v>
      </c>
      <c r="L5" s="156"/>
    </row>
    <row r="6" spans="1:12" x14ac:dyDescent="0.55000000000000004">
      <c r="A6" s="150" t="s">
        <v>87</v>
      </c>
      <c r="B6" s="149">
        <v>14685880</v>
      </c>
      <c r="D6" s="150" t="s">
        <v>87</v>
      </c>
      <c r="E6" s="155">
        <v>14685880</v>
      </c>
      <c r="F6" s="155">
        <v>2261960</v>
      </c>
      <c r="G6" s="155">
        <v>1981960</v>
      </c>
      <c r="H6" s="155">
        <v>1701960</v>
      </c>
      <c r="I6" s="155">
        <v>1700000</v>
      </c>
      <c r="J6" s="155">
        <v>0</v>
      </c>
      <c r="K6" s="155">
        <v>0</v>
      </c>
      <c r="L6" s="156"/>
    </row>
    <row r="7" spans="1:12" x14ac:dyDescent="0.55000000000000004">
      <c r="A7" s="150" t="s">
        <v>400</v>
      </c>
      <c r="B7" s="149">
        <v>2400</v>
      </c>
      <c r="D7" s="150" t="s">
        <v>400</v>
      </c>
      <c r="E7" s="155">
        <v>2400</v>
      </c>
      <c r="F7" s="155">
        <v>300</v>
      </c>
      <c r="G7" s="155">
        <v>300</v>
      </c>
      <c r="H7" s="155">
        <v>300</v>
      </c>
      <c r="I7" s="155">
        <v>300</v>
      </c>
      <c r="J7" s="155">
        <v>600</v>
      </c>
      <c r="K7" s="155">
        <v>600</v>
      </c>
      <c r="L7" s="156"/>
    </row>
    <row r="8" spans="1:12" x14ac:dyDescent="0.55000000000000004">
      <c r="A8" s="150" t="s">
        <v>99</v>
      </c>
      <c r="B8" s="149">
        <v>7500000</v>
      </c>
      <c r="D8" s="150" t="s">
        <v>99</v>
      </c>
      <c r="E8" s="155">
        <v>7500000</v>
      </c>
      <c r="F8" s="155">
        <v>750000</v>
      </c>
      <c r="G8" s="155">
        <v>750000</v>
      </c>
      <c r="H8" s="155">
        <v>750000</v>
      </c>
      <c r="I8" s="155">
        <v>750000</v>
      </c>
      <c r="J8" s="155">
        <v>0</v>
      </c>
      <c r="K8" s="155">
        <v>0</v>
      </c>
      <c r="L8" s="156"/>
    </row>
    <row r="9" spans="1:12" x14ac:dyDescent="0.55000000000000004">
      <c r="A9" s="150" t="s">
        <v>106</v>
      </c>
      <c r="B9" s="149">
        <v>6000000</v>
      </c>
      <c r="D9" s="150" t="s">
        <v>106</v>
      </c>
      <c r="E9" s="155">
        <v>6000000</v>
      </c>
      <c r="F9" s="155">
        <v>1000000</v>
      </c>
      <c r="G9" s="155">
        <v>1000000</v>
      </c>
      <c r="H9" s="155">
        <v>1000000</v>
      </c>
      <c r="I9" s="155">
        <v>1000000</v>
      </c>
      <c r="J9" s="155">
        <v>1000000</v>
      </c>
      <c r="K9" s="155">
        <v>1000000</v>
      </c>
      <c r="L9" s="156"/>
    </row>
    <row r="10" spans="1:12" x14ac:dyDescent="0.55000000000000004">
      <c r="A10" s="150" t="s">
        <v>112</v>
      </c>
      <c r="B10" s="149">
        <v>75450000</v>
      </c>
      <c r="D10" s="150" t="s">
        <v>112</v>
      </c>
      <c r="E10" s="155">
        <v>75450000</v>
      </c>
      <c r="F10" s="155">
        <v>2360000</v>
      </c>
      <c r="G10" s="155">
        <v>3410000</v>
      </c>
      <c r="H10" s="155">
        <v>7880000</v>
      </c>
      <c r="I10" s="155">
        <v>8880000</v>
      </c>
      <c r="J10" s="155">
        <v>8440000</v>
      </c>
      <c r="K10" s="155">
        <v>8440000</v>
      </c>
      <c r="L10" s="156"/>
    </row>
    <row r="11" spans="1:12" x14ac:dyDescent="0.55000000000000004">
      <c r="A11" s="151" t="s">
        <v>401</v>
      </c>
      <c r="B11" s="152">
        <v>211450000</v>
      </c>
      <c r="D11" s="151" t="s">
        <v>401</v>
      </c>
      <c r="E11" s="157">
        <v>211450000</v>
      </c>
      <c r="F11" s="157">
        <v>20420000</v>
      </c>
      <c r="G11" s="157">
        <v>20420000</v>
      </c>
      <c r="H11" s="157">
        <v>21140000</v>
      </c>
      <c r="I11" s="157">
        <v>32240000</v>
      </c>
      <c r="J11" s="157">
        <v>30390000</v>
      </c>
      <c r="K11" s="157">
        <v>27890000</v>
      </c>
      <c r="L11" s="156">
        <f>SUM(F11:K11)</f>
        <v>152500000</v>
      </c>
    </row>
    <row r="12" spans="1:12" x14ac:dyDescent="0.55000000000000004">
      <c r="A12" s="153" t="s">
        <v>169</v>
      </c>
      <c r="B12" s="152">
        <v>77880000</v>
      </c>
      <c r="D12" s="153" t="s">
        <v>169</v>
      </c>
      <c r="E12" s="157">
        <v>77880000</v>
      </c>
      <c r="F12" s="157">
        <v>6350000</v>
      </c>
      <c r="G12" s="157">
        <v>6350000</v>
      </c>
      <c r="H12" s="157">
        <v>6350000</v>
      </c>
      <c r="I12" s="157">
        <v>6950000</v>
      </c>
      <c r="J12" s="157">
        <v>6950000</v>
      </c>
      <c r="K12" s="157">
        <v>6450000</v>
      </c>
      <c r="L12" s="158"/>
    </row>
    <row r="13" spans="1:12" x14ac:dyDescent="0.55000000000000004">
      <c r="A13" s="153" t="s">
        <v>131</v>
      </c>
      <c r="B13" s="152">
        <v>100070000</v>
      </c>
      <c r="D13" s="153" t="s">
        <v>131</v>
      </c>
      <c r="E13" s="157">
        <v>100070000</v>
      </c>
      <c r="F13" s="157">
        <v>14070000</v>
      </c>
      <c r="G13" s="157">
        <v>14070000</v>
      </c>
      <c r="H13" s="157">
        <v>14790000</v>
      </c>
      <c r="I13" s="157">
        <v>14790000</v>
      </c>
      <c r="J13" s="157">
        <v>12940000</v>
      </c>
      <c r="K13" s="157">
        <v>10940000</v>
      </c>
      <c r="L13" s="158"/>
    </row>
    <row r="14" spans="1:12" x14ac:dyDescent="0.55000000000000004">
      <c r="A14" s="153" t="s">
        <v>402</v>
      </c>
      <c r="B14" s="152">
        <v>13500000</v>
      </c>
      <c r="D14" s="153" t="s">
        <v>402</v>
      </c>
      <c r="E14" s="157">
        <v>13500000</v>
      </c>
      <c r="F14" s="157">
        <v>0</v>
      </c>
      <c r="G14" s="157">
        <v>0</v>
      </c>
      <c r="H14" s="157">
        <v>0</v>
      </c>
      <c r="I14" s="157">
        <v>4500000</v>
      </c>
      <c r="J14" s="157">
        <v>4500000</v>
      </c>
      <c r="K14" s="157">
        <v>4500000</v>
      </c>
      <c r="L14" s="158"/>
    </row>
    <row r="15" spans="1:12" x14ac:dyDescent="0.55000000000000004">
      <c r="A15" s="153" t="s">
        <v>403</v>
      </c>
      <c r="B15" s="152">
        <v>9000000</v>
      </c>
      <c r="D15" s="153" t="s">
        <v>403</v>
      </c>
      <c r="E15" s="157">
        <v>9000000</v>
      </c>
      <c r="F15" s="157">
        <v>0</v>
      </c>
      <c r="G15" s="157">
        <v>0</v>
      </c>
      <c r="H15" s="157">
        <v>0</v>
      </c>
      <c r="I15" s="157">
        <v>3000000</v>
      </c>
      <c r="J15" s="157">
        <v>3000000</v>
      </c>
      <c r="K15" s="157">
        <v>3000000</v>
      </c>
      <c r="L15" s="158"/>
    </row>
    <row r="16" spans="1:12" x14ac:dyDescent="0.55000000000000004">
      <c r="A16" s="153" t="s">
        <v>404</v>
      </c>
      <c r="B16" s="152">
        <v>9000000</v>
      </c>
      <c r="D16" s="153" t="s">
        <v>404</v>
      </c>
      <c r="E16" s="157">
        <v>9000000</v>
      </c>
      <c r="F16" s="157">
        <v>0</v>
      </c>
      <c r="G16" s="157">
        <v>0</v>
      </c>
      <c r="H16" s="157">
        <v>0</v>
      </c>
      <c r="I16" s="157">
        <v>3000000</v>
      </c>
      <c r="J16" s="157">
        <v>3000000</v>
      </c>
      <c r="K16" s="157">
        <v>3000000</v>
      </c>
      <c r="L16" s="158"/>
    </row>
    <row r="17" spans="1:12" x14ac:dyDescent="0.55000000000000004">
      <c r="A17" s="153" t="s">
        <v>405</v>
      </c>
      <c r="B17" s="152">
        <v>2000000</v>
      </c>
      <c r="D17" s="153" t="s">
        <v>405</v>
      </c>
      <c r="E17" s="157">
        <v>2000000</v>
      </c>
      <c r="F17" s="157"/>
      <c r="G17" s="157"/>
      <c r="H17" s="157"/>
      <c r="I17" s="157"/>
      <c r="J17" s="157"/>
      <c r="K17" s="157"/>
      <c r="L17" s="158"/>
    </row>
    <row r="18" spans="1:12" x14ac:dyDescent="0.55000000000000004">
      <c r="A18" s="145" t="s">
        <v>406</v>
      </c>
      <c r="B18" s="146">
        <v>145797997</v>
      </c>
      <c r="D18" s="145" t="s">
        <v>406</v>
      </c>
      <c r="E18" s="159">
        <v>145797997</v>
      </c>
      <c r="F18" s="159">
        <v>10837500</v>
      </c>
      <c r="G18" s="159">
        <v>20687500</v>
      </c>
      <c r="H18" s="159">
        <v>22687500</v>
      </c>
      <c r="I18" s="159">
        <v>23087500</v>
      </c>
      <c r="J18" s="159">
        <v>20687500</v>
      </c>
      <c r="K18" s="159">
        <v>20687500</v>
      </c>
      <c r="L18" s="160">
        <f>SUM(F18:K18)</f>
        <v>118675000</v>
      </c>
    </row>
    <row r="19" spans="1:12" x14ac:dyDescent="0.55000000000000004">
      <c r="A19" s="147" t="s">
        <v>261</v>
      </c>
      <c r="B19" s="146">
        <v>22637997.5</v>
      </c>
      <c r="D19" s="147" t="s">
        <v>261</v>
      </c>
      <c r="E19" s="159">
        <v>22637997.5</v>
      </c>
      <c r="F19" s="159">
        <v>3787500</v>
      </c>
      <c r="G19" s="159">
        <v>2237500</v>
      </c>
      <c r="H19" s="159">
        <v>2237500</v>
      </c>
      <c r="I19" s="159">
        <v>2637500</v>
      </c>
      <c r="J19" s="159">
        <v>2237500</v>
      </c>
      <c r="K19" s="159">
        <v>2237500</v>
      </c>
      <c r="L19" s="159">
        <f t="shared" ref="L19:L36" si="0">SUM(F19:K19)</f>
        <v>15375000</v>
      </c>
    </row>
    <row r="20" spans="1:12" x14ac:dyDescent="0.55000000000000004">
      <c r="A20" s="147" t="s">
        <v>407</v>
      </c>
      <c r="B20" s="146">
        <v>8249950</v>
      </c>
      <c r="D20" s="147" t="s">
        <v>407</v>
      </c>
      <c r="E20" s="159">
        <v>8249950</v>
      </c>
      <c r="F20" s="159">
        <v>0</v>
      </c>
      <c r="G20" s="159">
        <v>0</v>
      </c>
      <c r="H20" s="159">
        <v>0</v>
      </c>
      <c r="I20" s="159">
        <v>0</v>
      </c>
      <c r="J20" s="159">
        <v>0</v>
      </c>
      <c r="K20" s="159">
        <v>0</v>
      </c>
      <c r="L20" s="159">
        <f t="shared" si="0"/>
        <v>0</v>
      </c>
    </row>
    <row r="21" spans="1:12" x14ac:dyDescent="0.55000000000000004">
      <c r="A21" s="147" t="s">
        <v>272</v>
      </c>
      <c r="B21" s="146">
        <v>20700000</v>
      </c>
      <c r="D21" s="147" t="s">
        <v>272</v>
      </c>
      <c r="E21" s="159">
        <v>20700000</v>
      </c>
      <c r="F21" s="159">
        <v>3450000</v>
      </c>
      <c r="G21" s="159">
        <v>3450000</v>
      </c>
      <c r="H21" s="159">
        <v>3450000</v>
      </c>
      <c r="I21" s="159">
        <v>3450000</v>
      </c>
      <c r="J21" s="159">
        <v>3450000</v>
      </c>
      <c r="K21" s="159">
        <v>3450000</v>
      </c>
      <c r="L21" s="159">
        <f t="shared" si="0"/>
        <v>20700000</v>
      </c>
    </row>
    <row r="22" spans="1:12" x14ac:dyDescent="0.55000000000000004">
      <c r="A22" s="147" t="s">
        <v>408</v>
      </c>
      <c r="B22" s="146">
        <v>10000000</v>
      </c>
      <c r="D22" s="147" t="s">
        <v>408</v>
      </c>
      <c r="E22" s="159">
        <v>10000000</v>
      </c>
      <c r="F22" s="159">
        <v>0</v>
      </c>
      <c r="G22" s="159">
        <v>2000000</v>
      </c>
      <c r="H22" s="159">
        <v>2000000</v>
      </c>
      <c r="I22" s="159">
        <v>2000000</v>
      </c>
      <c r="J22" s="159">
        <v>2000000</v>
      </c>
      <c r="K22" s="159">
        <v>2000000</v>
      </c>
      <c r="L22" s="159">
        <f t="shared" si="0"/>
        <v>10000000</v>
      </c>
    </row>
    <row r="23" spans="1:12" x14ac:dyDescent="0.55000000000000004">
      <c r="A23" s="147" t="s">
        <v>409</v>
      </c>
      <c r="B23" s="146">
        <v>0</v>
      </c>
      <c r="D23" s="147" t="s">
        <v>409</v>
      </c>
      <c r="E23" s="159">
        <v>0</v>
      </c>
      <c r="F23" s="159">
        <v>0</v>
      </c>
      <c r="G23" s="159">
        <v>0</v>
      </c>
      <c r="H23" s="159">
        <v>0</v>
      </c>
      <c r="I23" s="159">
        <v>0</v>
      </c>
      <c r="J23" s="159">
        <v>0</v>
      </c>
      <c r="K23" s="159">
        <v>0</v>
      </c>
      <c r="L23" s="159">
        <f t="shared" si="0"/>
        <v>0</v>
      </c>
    </row>
    <row r="24" spans="1:12" x14ac:dyDescent="0.55000000000000004">
      <c r="A24" s="147" t="s">
        <v>278</v>
      </c>
      <c r="B24" s="146">
        <v>4000000</v>
      </c>
      <c r="D24" s="147" t="s">
        <v>278</v>
      </c>
      <c r="E24" s="159">
        <v>4000000</v>
      </c>
      <c r="F24" s="159">
        <v>0</v>
      </c>
      <c r="G24" s="159">
        <v>0</v>
      </c>
      <c r="H24" s="159">
        <v>2000000</v>
      </c>
      <c r="I24" s="159">
        <v>2000000</v>
      </c>
      <c r="J24" s="159">
        <v>0</v>
      </c>
      <c r="K24" s="159">
        <v>0</v>
      </c>
      <c r="L24" s="159">
        <f t="shared" si="0"/>
        <v>4000000</v>
      </c>
    </row>
    <row r="25" spans="1:12" x14ac:dyDescent="0.55000000000000004">
      <c r="A25" s="147" t="s">
        <v>410</v>
      </c>
      <c r="B25" s="146">
        <v>3000000</v>
      </c>
      <c r="D25" s="147" t="s">
        <v>410</v>
      </c>
      <c r="E25" s="159">
        <v>3000000</v>
      </c>
      <c r="F25" s="159">
        <v>0</v>
      </c>
      <c r="G25" s="159">
        <v>0</v>
      </c>
      <c r="H25" s="159">
        <v>0</v>
      </c>
      <c r="I25" s="159">
        <v>0</v>
      </c>
      <c r="J25" s="159">
        <v>0</v>
      </c>
      <c r="K25" s="159">
        <v>0</v>
      </c>
      <c r="L25" s="159">
        <f t="shared" si="0"/>
        <v>0</v>
      </c>
    </row>
    <row r="26" spans="1:12" x14ac:dyDescent="0.55000000000000004">
      <c r="A26" s="147" t="s">
        <v>256</v>
      </c>
      <c r="B26" s="146">
        <v>20000000</v>
      </c>
      <c r="D26" s="147" t="s">
        <v>256</v>
      </c>
      <c r="E26" s="159">
        <v>20000000</v>
      </c>
      <c r="F26" s="159">
        <v>0</v>
      </c>
      <c r="G26" s="159">
        <v>4000000</v>
      </c>
      <c r="H26" s="159">
        <v>4000000</v>
      </c>
      <c r="I26" s="159">
        <v>4000000</v>
      </c>
      <c r="J26" s="159">
        <v>4000000</v>
      </c>
      <c r="K26" s="159">
        <v>4000000</v>
      </c>
      <c r="L26" s="159">
        <f t="shared" si="0"/>
        <v>20000000</v>
      </c>
    </row>
    <row r="27" spans="1:12" x14ac:dyDescent="0.55000000000000004">
      <c r="A27" s="147" t="s">
        <v>282</v>
      </c>
      <c r="B27" s="146">
        <v>10000000</v>
      </c>
      <c r="D27" s="147" t="s">
        <v>282</v>
      </c>
      <c r="E27" s="159">
        <v>10000000</v>
      </c>
      <c r="F27" s="159">
        <v>0</v>
      </c>
      <c r="G27" s="159">
        <v>2000000</v>
      </c>
      <c r="H27" s="159">
        <v>2000000</v>
      </c>
      <c r="I27" s="159">
        <v>2000000</v>
      </c>
      <c r="J27" s="159">
        <v>2000000</v>
      </c>
      <c r="K27" s="159">
        <v>2000000</v>
      </c>
      <c r="L27" s="159">
        <f t="shared" si="0"/>
        <v>10000000</v>
      </c>
    </row>
    <row r="28" spans="1:12" x14ac:dyDescent="0.55000000000000004">
      <c r="A28" s="147" t="s">
        <v>411</v>
      </c>
      <c r="B28" s="146">
        <v>0</v>
      </c>
      <c r="D28" s="147" t="s">
        <v>411</v>
      </c>
      <c r="E28" s="159">
        <v>0</v>
      </c>
      <c r="F28" s="159">
        <v>0</v>
      </c>
      <c r="G28" s="159">
        <v>0</v>
      </c>
      <c r="H28" s="159">
        <v>0</v>
      </c>
      <c r="I28" s="159">
        <v>0</v>
      </c>
      <c r="J28" s="159">
        <v>0</v>
      </c>
      <c r="K28" s="159">
        <v>0</v>
      </c>
      <c r="L28" s="159">
        <f t="shared" si="0"/>
        <v>0</v>
      </c>
    </row>
    <row r="29" spans="1:12" x14ac:dyDescent="0.55000000000000004">
      <c r="A29" s="147" t="s">
        <v>412</v>
      </c>
      <c r="B29" s="146">
        <v>0</v>
      </c>
      <c r="D29" s="147" t="s">
        <v>412</v>
      </c>
      <c r="E29" s="159">
        <v>0</v>
      </c>
      <c r="F29" s="159">
        <v>0</v>
      </c>
      <c r="G29" s="159">
        <v>0</v>
      </c>
      <c r="H29" s="159">
        <v>0</v>
      </c>
      <c r="I29" s="159">
        <v>0</v>
      </c>
      <c r="J29" s="159">
        <v>0</v>
      </c>
      <c r="K29" s="159">
        <v>0</v>
      </c>
      <c r="L29" s="159">
        <f t="shared" si="0"/>
        <v>0</v>
      </c>
    </row>
    <row r="30" spans="1:12" x14ac:dyDescent="0.55000000000000004">
      <c r="A30" s="147" t="s">
        <v>309</v>
      </c>
      <c r="B30" s="146">
        <v>10000000</v>
      </c>
      <c r="D30" s="147" t="s">
        <v>309</v>
      </c>
      <c r="E30" s="159">
        <v>10000000</v>
      </c>
      <c r="F30" s="159">
        <v>0</v>
      </c>
      <c r="G30" s="159">
        <v>2000000</v>
      </c>
      <c r="H30" s="159">
        <v>2000000</v>
      </c>
      <c r="I30" s="159">
        <v>2000000</v>
      </c>
      <c r="J30" s="159">
        <v>2000000</v>
      </c>
      <c r="K30" s="159">
        <v>2000000</v>
      </c>
      <c r="L30" s="159">
        <f t="shared" si="0"/>
        <v>10000000</v>
      </c>
    </row>
    <row r="31" spans="1:12" x14ac:dyDescent="0.55000000000000004">
      <c r="A31" s="147" t="s">
        <v>413</v>
      </c>
      <c r="B31" s="146">
        <v>0</v>
      </c>
      <c r="D31" s="147" t="s">
        <v>413</v>
      </c>
      <c r="E31" s="159">
        <v>0</v>
      </c>
      <c r="F31" s="159">
        <v>0</v>
      </c>
      <c r="G31" s="159">
        <v>0</v>
      </c>
      <c r="H31" s="159">
        <v>0</v>
      </c>
      <c r="I31" s="159">
        <v>0</v>
      </c>
      <c r="J31" s="159">
        <v>0</v>
      </c>
      <c r="K31" s="159">
        <v>0</v>
      </c>
      <c r="L31" s="159">
        <f t="shared" si="0"/>
        <v>0</v>
      </c>
    </row>
    <row r="32" spans="1:12" x14ac:dyDescent="0.55000000000000004">
      <c r="A32" s="147" t="s">
        <v>414</v>
      </c>
      <c r="B32" s="146">
        <v>0</v>
      </c>
      <c r="D32" s="147" t="s">
        <v>414</v>
      </c>
      <c r="E32" s="159">
        <v>0</v>
      </c>
      <c r="F32" s="159">
        <v>0</v>
      </c>
      <c r="G32" s="159">
        <v>0</v>
      </c>
      <c r="H32" s="159">
        <v>0</v>
      </c>
      <c r="I32" s="159">
        <v>0</v>
      </c>
      <c r="J32" s="159">
        <v>0</v>
      </c>
      <c r="K32" s="159">
        <v>0</v>
      </c>
      <c r="L32" s="159">
        <f t="shared" si="0"/>
        <v>0</v>
      </c>
    </row>
    <row r="33" spans="1:12" x14ac:dyDescent="0.55000000000000004">
      <c r="A33" s="147" t="s">
        <v>286</v>
      </c>
      <c r="B33" s="146">
        <v>14610049.5</v>
      </c>
      <c r="D33" s="147" t="s">
        <v>286</v>
      </c>
      <c r="E33" s="159">
        <v>14610049.5</v>
      </c>
      <c r="F33" s="159">
        <v>1000000</v>
      </c>
      <c r="G33" s="159">
        <v>1000000</v>
      </c>
      <c r="H33" s="159">
        <v>1000000</v>
      </c>
      <c r="I33" s="159">
        <v>1000000</v>
      </c>
      <c r="J33" s="159">
        <v>1000000</v>
      </c>
      <c r="K33" s="159">
        <v>1000000</v>
      </c>
      <c r="L33" s="159">
        <f t="shared" si="0"/>
        <v>6000000</v>
      </c>
    </row>
    <row r="34" spans="1:12" x14ac:dyDescent="0.55000000000000004">
      <c r="A34" s="147" t="s">
        <v>289</v>
      </c>
      <c r="B34" s="146">
        <v>12000000</v>
      </c>
      <c r="D34" s="147" t="s">
        <v>289</v>
      </c>
      <c r="E34" s="159">
        <v>12000000</v>
      </c>
      <c r="F34" s="159">
        <v>2000000</v>
      </c>
      <c r="G34" s="159">
        <v>2000000</v>
      </c>
      <c r="H34" s="159">
        <v>2000000</v>
      </c>
      <c r="I34" s="159">
        <v>2000000</v>
      </c>
      <c r="J34" s="159">
        <v>2000000</v>
      </c>
      <c r="K34" s="159">
        <v>2000000</v>
      </c>
      <c r="L34" s="159">
        <f t="shared" si="0"/>
        <v>12000000</v>
      </c>
    </row>
    <row r="35" spans="1:12" x14ac:dyDescent="0.55000000000000004">
      <c r="A35" s="147" t="s">
        <v>306</v>
      </c>
      <c r="B35" s="146">
        <v>10000000</v>
      </c>
      <c r="D35" s="147" t="s">
        <v>306</v>
      </c>
      <c r="E35" s="159">
        <v>10000000</v>
      </c>
      <c r="F35" s="159">
        <v>0</v>
      </c>
      <c r="G35" s="159">
        <v>2000000</v>
      </c>
      <c r="H35" s="159">
        <v>2000000</v>
      </c>
      <c r="I35" s="159">
        <v>2000000</v>
      </c>
      <c r="J35" s="159">
        <v>2000000</v>
      </c>
      <c r="K35" s="159">
        <v>2000000</v>
      </c>
      <c r="L35" s="159">
        <f t="shared" si="0"/>
        <v>10000000</v>
      </c>
    </row>
    <row r="36" spans="1:12" x14ac:dyDescent="0.55000000000000004">
      <c r="A36" s="147" t="s">
        <v>415</v>
      </c>
      <c r="B36" s="146">
        <v>600000</v>
      </c>
      <c r="D36" s="147" t="s">
        <v>415</v>
      </c>
      <c r="E36" s="159">
        <v>600000</v>
      </c>
      <c r="F36" s="159">
        <v>600000</v>
      </c>
      <c r="G36" s="159">
        <v>0</v>
      </c>
      <c r="H36" s="159">
        <v>0</v>
      </c>
      <c r="I36" s="159">
        <v>0</v>
      </c>
      <c r="J36" s="159">
        <v>0</v>
      </c>
      <c r="K36" s="159">
        <v>0</v>
      </c>
      <c r="L36" s="159">
        <f t="shared" si="0"/>
        <v>600000</v>
      </c>
    </row>
    <row r="37" spans="1:12" x14ac:dyDescent="0.55000000000000004">
      <c r="A37" s="143" t="s">
        <v>405</v>
      </c>
      <c r="B37" s="142"/>
      <c r="D37" s="143" t="s">
        <v>405</v>
      </c>
      <c r="E37" s="161"/>
      <c r="F37" s="161"/>
      <c r="G37" s="161"/>
      <c r="H37" s="161"/>
      <c r="I37" s="161"/>
      <c r="J37" s="161"/>
      <c r="K37" s="161"/>
      <c r="L37" s="162"/>
    </row>
    <row r="38" spans="1:12" x14ac:dyDescent="0.55000000000000004">
      <c r="A38" s="144" t="s">
        <v>405</v>
      </c>
      <c r="B38" s="142"/>
      <c r="D38" s="144" t="s">
        <v>405</v>
      </c>
      <c r="E38" s="161"/>
      <c r="F38" s="161"/>
      <c r="G38" s="161"/>
      <c r="H38" s="161"/>
      <c r="I38" s="161"/>
      <c r="J38" s="161"/>
      <c r="K38" s="161"/>
      <c r="L38" s="162"/>
    </row>
    <row r="39" spans="1:12" x14ac:dyDescent="0.55000000000000004">
      <c r="A39" s="143" t="s">
        <v>416</v>
      </c>
      <c r="B39" s="142">
        <v>461486852</v>
      </c>
      <c r="D39" s="143" t="s">
        <v>416</v>
      </c>
      <c r="E39" s="161">
        <v>461486852</v>
      </c>
      <c r="F39" s="161">
        <v>37629760</v>
      </c>
      <c r="G39" s="161">
        <v>48249760</v>
      </c>
      <c r="H39" s="161">
        <v>55159910</v>
      </c>
      <c r="I39" s="161">
        <v>67657800</v>
      </c>
      <c r="J39" s="161">
        <v>60518100</v>
      </c>
      <c r="K39" s="161">
        <v>58018250</v>
      </c>
      <c r="L39" s="162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5C6C-7E45-4462-A212-6A936EA60F25}">
  <dimension ref="A1:R57"/>
  <sheetViews>
    <sheetView zoomScale="70" zoomScaleNormal="70" workbookViewId="0">
      <selection activeCell="D43" sqref="D43"/>
    </sheetView>
  </sheetViews>
  <sheetFormatPr defaultColWidth="8.58203125" defaultRowHeight="15" outlineLevelCol="1" x14ac:dyDescent="0.55000000000000004"/>
  <cols>
    <col min="1" max="1" width="10.58203125" style="112" bestFit="1" customWidth="1"/>
    <col min="2" max="2" width="38.75" style="113" customWidth="1"/>
    <col min="3" max="3" width="47" style="113" customWidth="1"/>
    <col min="4" max="4" width="15.5" style="113" bestFit="1" customWidth="1"/>
    <col min="5" max="5" width="15.5" style="113" hidden="1" customWidth="1"/>
    <col min="6" max="6" width="13.08203125" style="112" bestFit="1" customWidth="1"/>
    <col min="7" max="8" width="13.5" style="112" customWidth="1" outlineLevel="1"/>
    <col min="9" max="10" width="13.08203125" style="112" customWidth="1" outlineLevel="1"/>
    <col min="11" max="17" width="13.5" style="112" customWidth="1" outlineLevel="1"/>
    <col min="18" max="18" width="13.08203125" style="112" bestFit="1" customWidth="1"/>
    <col min="19" max="16384" width="8.58203125" style="112"/>
  </cols>
  <sheetData>
    <row r="1" spans="1:18" x14ac:dyDescent="0.55000000000000004">
      <c r="A1" s="112" t="s">
        <v>417</v>
      </c>
      <c r="B1" s="114" t="s">
        <v>418</v>
      </c>
      <c r="C1" s="114" t="s">
        <v>419</v>
      </c>
      <c r="D1" s="114" t="s">
        <v>420</v>
      </c>
      <c r="E1" s="116" t="s">
        <v>421</v>
      </c>
      <c r="F1" s="115" t="s">
        <v>422</v>
      </c>
      <c r="G1" s="115" t="s">
        <v>423</v>
      </c>
      <c r="H1" s="115" t="s">
        <v>424</v>
      </c>
      <c r="I1" s="115" t="s">
        <v>425</v>
      </c>
      <c r="J1" s="115" t="s">
        <v>426</v>
      </c>
      <c r="K1" s="115" t="s">
        <v>427</v>
      </c>
      <c r="L1" s="115" t="s">
        <v>358</v>
      </c>
      <c r="M1" s="115" t="s">
        <v>359</v>
      </c>
      <c r="N1" s="115" t="s">
        <v>360</v>
      </c>
      <c r="O1" s="115" t="s">
        <v>361</v>
      </c>
      <c r="P1" s="115" t="s">
        <v>362</v>
      </c>
      <c r="Q1" s="115" t="s">
        <v>363</v>
      </c>
      <c r="R1" s="117" t="s">
        <v>428</v>
      </c>
    </row>
    <row r="2" spans="1:18" ht="26.15" customHeight="1" x14ac:dyDescent="0.55000000000000004">
      <c r="A2" s="112" t="s">
        <v>429</v>
      </c>
      <c r="B2" s="118" t="s">
        <v>131</v>
      </c>
      <c r="C2" s="118" t="s">
        <v>100</v>
      </c>
      <c r="D2" s="119">
        <f t="shared" ref="D2:D33" si="0">SUM(F2:Q2)</f>
        <v>150000</v>
      </c>
      <c r="E2" s="119">
        <f t="shared" ref="E2:E17" si="1">SUBTOTAL(9,J2:Q2)</f>
        <v>0</v>
      </c>
      <c r="F2" s="120">
        <v>150000</v>
      </c>
      <c r="G2" s="120">
        <v>0</v>
      </c>
      <c r="H2" s="120">
        <v>0</v>
      </c>
      <c r="I2" s="120">
        <v>0</v>
      </c>
      <c r="J2" s="121">
        <v>0</v>
      </c>
      <c r="K2" s="121">
        <v>0</v>
      </c>
      <c r="L2" s="121">
        <v>0</v>
      </c>
      <c r="M2" s="121">
        <v>0</v>
      </c>
      <c r="N2" s="121">
        <v>0</v>
      </c>
      <c r="O2" s="121">
        <v>0</v>
      </c>
      <c r="P2" s="121">
        <v>0</v>
      </c>
      <c r="Q2" s="121">
        <v>0</v>
      </c>
      <c r="R2" s="122" t="s">
        <v>9</v>
      </c>
    </row>
    <row r="3" spans="1:18" ht="26.15" customHeight="1" x14ac:dyDescent="0.55000000000000004">
      <c r="A3" s="112" t="s">
        <v>429</v>
      </c>
      <c r="B3" s="118" t="s">
        <v>131</v>
      </c>
      <c r="C3" s="118" t="s">
        <v>430</v>
      </c>
      <c r="D3" s="119">
        <f t="shared" si="0"/>
        <v>450000</v>
      </c>
      <c r="E3" s="119">
        <f t="shared" si="1"/>
        <v>0</v>
      </c>
      <c r="F3" s="120">
        <v>0</v>
      </c>
      <c r="G3" s="120">
        <v>0</v>
      </c>
      <c r="H3" s="120">
        <v>450000</v>
      </c>
      <c r="I3" s="120">
        <v>0</v>
      </c>
      <c r="J3" s="121">
        <v>0</v>
      </c>
      <c r="K3" s="121">
        <v>0</v>
      </c>
      <c r="L3" s="121">
        <v>0</v>
      </c>
      <c r="M3" s="121">
        <v>0</v>
      </c>
      <c r="N3" s="121">
        <v>0</v>
      </c>
      <c r="O3" s="121">
        <v>0</v>
      </c>
      <c r="P3" s="121">
        <v>0</v>
      </c>
      <c r="Q3" s="121">
        <v>0</v>
      </c>
      <c r="R3" s="122" t="s">
        <v>9</v>
      </c>
    </row>
    <row r="4" spans="1:18" ht="26.15" customHeight="1" x14ac:dyDescent="0.55000000000000004">
      <c r="A4" s="112" t="s">
        <v>429</v>
      </c>
      <c r="B4" s="118" t="s">
        <v>131</v>
      </c>
      <c r="C4" s="118" t="s">
        <v>431</v>
      </c>
      <c r="D4" s="119">
        <f t="shared" si="0"/>
        <v>575</v>
      </c>
      <c r="E4" s="119">
        <f t="shared" si="1"/>
        <v>575</v>
      </c>
      <c r="F4" s="136"/>
      <c r="G4" s="136"/>
      <c r="H4" s="136"/>
      <c r="I4" s="136"/>
      <c r="J4" s="137"/>
      <c r="K4" s="138">
        <v>275</v>
      </c>
      <c r="L4" s="137"/>
      <c r="M4" s="137"/>
      <c r="N4" s="137">
        <v>150</v>
      </c>
      <c r="O4" s="137"/>
      <c r="P4" s="137"/>
      <c r="Q4" s="137">
        <v>150</v>
      </c>
      <c r="R4" s="128" t="s">
        <v>175</v>
      </c>
    </row>
    <row r="5" spans="1:18" ht="26.15" customHeight="1" x14ac:dyDescent="0.55000000000000004">
      <c r="A5" s="112" t="s">
        <v>429</v>
      </c>
      <c r="B5" s="118" t="s">
        <v>87</v>
      </c>
      <c r="C5" s="118" t="s">
        <v>432</v>
      </c>
      <c r="D5" s="119">
        <f t="shared" si="0"/>
        <v>840000</v>
      </c>
      <c r="E5" s="119">
        <f t="shared" si="1"/>
        <v>0</v>
      </c>
      <c r="F5" s="120">
        <v>0</v>
      </c>
      <c r="G5" s="120">
        <v>0</v>
      </c>
      <c r="H5" s="120">
        <v>840000</v>
      </c>
      <c r="I5" s="120">
        <v>0</v>
      </c>
      <c r="J5" s="121">
        <v>0</v>
      </c>
      <c r="K5" s="121">
        <v>0</v>
      </c>
      <c r="L5" s="121">
        <v>0</v>
      </c>
      <c r="M5" s="121">
        <v>0</v>
      </c>
      <c r="N5" s="121">
        <v>0</v>
      </c>
      <c r="O5" s="121">
        <v>0</v>
      </c>
      <c r="P5" s="121">
        <v>0</v>
      </c>
      <c r="Q5" s="121">
        <v>0</v>
      </c>
      <c r="R5" s="122" t="s">
        <v>9</v>
      </c>
    </row>
    <row r="6" spans="1:18" ht="26.15" customHeight="1" x14ac:dyDescent="0.55000000000000004">
      <c r="A6" s="112" t="s">
        <v>429</v>
      </c>
      <c r="B6" s="118" t="s">
        <v>87</v>
      </c>
      <c r="C6" s="118" t="s">
        <v>88</v>
      </c>
      <c r="D6" s="119">
        <f t="shared" si="0"/>
        <v>13840000</v>
      </c>
      <c r="E6" s="119">
        <f t="shared" si="1"/>
        <v>13840000</v>
      </c>
      <c r="F6" s="120">
        <v>0</v>
      </c>
      <c r="G6" s="120">
        <v>0</v>
      </c>
      <c r="H6" s="120">
        <v>0</v>
      </c>
      <c r="I6" s="120">
        <v>0</v>
      </c>
      <c r="J6" s="126">
        <v>3100000</v>
      </c>
      <c r="K6" s="121">
        <v>3100000</v>
      </c>
      <c r="L6" s="121">
        <v>2260000</v>
      </c>
      <c r="M6" s="121">
        <v>1980000</v>
      </c>
      <c r="N6" s="121">
        <v>1700000</v>
      </c>
      <c r="O6" s="121">
        <v>1700000</v>
      </c>
      <c r="P6" s="121">
        <v>0</v>
      </c>
      <c r="Q6" s="121">
        <v>0</v>
      </c>
      <c r="R6" s="122" t="s">
        <v>9</v>
      </c>
    </row>
    <row r="7" spans="1:18" ht="26.15" customHeight="1" x14ac:dyDescent="0.55000000000000004">
      <c r="A7" s="112" t="s">
        <v>429</v>
      </c>
      <c r="B7" s="118" t="s">
        <v>87</v>
      </c>
      <c r="C7" s="118" t="s">
        <v>433</v>
      </c>
      <c r="D7" s="119">
        <f t="shared" si="0"/>
        <v>5880</v>
      </c>
      <c r="E7" s="119">
        <f t="shared" si="1"/>
        <v>5880</v>
      </c>
      <c r="F7" s="120"/>
      <c r="G7" s="120"/>
      <c r="H7" s="120"/>
      <c r="I7" s="120"/>
      <c r="J7" s="121"/>
      <c r="K7" s="121"/>
      <c r="L7" s="126">
        <v>1960</v>
      </c>
      <c r="M7" s="121">
        <v>1960</v>
      </c>
      <c r="N7" s="121">
        <v>1960</v>
      </c>
      <c r="O7" s="121"/>
      <c r="P7" s="121"/>
      <c r="Q7" s="121"/>
      <c r="R7" s="128" t="s">
        <v>225</v>
      </c>
    </row>
    <row r="8" spans="1:18" ht="26.15" customHeight="1" x14ac:dyDescent="0.55000000000000004">
      <c r="A8" s="112" t="s">
        <v>429</v>
      </c>
      <c r="B8" s="118" t="s">
        <v>400</v>
      </c>
      <c r="C8" s="118" t="s">
        <v>145</v>
      </c>
      <c r="D8" s="119">
        <f t="shared" si="0"/>
        <v>2400</v>
      </c>
      <c r="E8" s="119">
        <f t="shared" si="1"/>
        <v>2400</v>
      </c>
      <c r="F8" s="136"/>
      <c r="G8" s="136"/>
      <c r="H8" s="136"/>
      <c r="I8" s="136"/>
      <c r="J8" s="137"/>
      <c r="K8" s="137"/>
      <c r="L8" s="138">
        <v>300</v>
      </c>
      <c r="M8" s="137">
        <v>300</v>
      </c>
      <c r="N8" s="137">
        <v>300</v>
      </c>
      <c r="O8" s="137">
        <v>300</v>
      </c>
      <c r="P8" s="137">
        <v>600</v>
      </c>
      <c r="Q8" s="137">
        <v>600</v>
      </c>
      <c r="R8" s="128" t="s">
        <v>349</v>
      </c>
    </row>
    <row r="9" spans="1:18" ht="26.15" customHeight="1" x14ac:dyDescent="0.55000000000000004">
      <c r="A9" s="112" t="s">
        <v>429</v>
      </c>
      <c r="B9" s="118" t="s">
        <v>99</v>
      </c>
      <c r="C9" s="118" t="s">
        <v>100</v>
      </c>
      <c r="D9" s="119">
        <f t="shared" si="0"/>
        <v>7500000</v>
      </c>
      <c r="E9" s="119">
        <f t="shared" si="1"/>
        <v>4500000</v>
      </c>
      <c r="F9" s="120">
        <v>750000</v>
      </c>
      <c r="G9" s="120">
        <v>750000</v>
      </c>
      <c r="H9" s="120">
        <v>750000</v>
      </c>
      <c r="I9" s="120">
        <v>750000</v>
      </c>
      <c r="J9" s="121">
        <v>750000</v>
      </c>
      <c r="K9" s="121">
        <v>750000</v>
      </c>
      <c r="L9" s="121">
        <v>750000</v>
      </c>
      <c r="M9" s="121">
        <v>750000</v>
      </c>
      <c r="N9" s="121">
        <v>750000</v>
      </c>
      <c r="O9" s="121">
        <v>750000</v>
      </c>
      <c r="P9" s="121">
        <v>0</v>
      </c>
      <c r="Q9" s="121">
        <v>0</v>
      </c>
      <c r="R9" s="128" t="s">
        <v>15</v>
      </c>
    </row>
    <row r="10" spans="1:18" ht="26.15" customHeight="1" x14ac:dyDescent="0.55000000000000004">
      <c r="A10" s="112" t="s">
        <v>429</v>
      </c>
      <c r="B10" s="118" t="s">
        <v>106</v>
      </c>
      <c r="C10" s="118" t="s">
        <v>434</v>
      </c>
      <c r="D10" s="119">
        <f t="shared" si="0"/>
        <v>6000000</v>
      </c>
      <c r="E10" s="119">
        <f t="shared" si="1"/>
        <v>6000000</v>
      </c>
      <c r="F10" s="130">
        <v>0</v>
      </c>
      <c r="G10" s="130">
        <v>0</v>
      </c>
      <c r="H10" s="130">
        <v>0</v>
      </c>
      <c r="I10" s="130">
        <v>0</v>
      </c>
      <c r="J10" s="131">
        <v>0</v>
      </c>
      <c r="K10" s="131">
        <v>0</v>
      </c>
      <c r="L10" s="132">
        <v>1000000</v>
      </c>
      <c r="M10" s="131">
        <v>1000000</v>
      </c>
      <c r="N10" s="131">
        <v>1000000</v>
      </c>
      <c r="O10" s="131">
        <v>1000000</v>
      </c>
      <c r="P10" s="131">
        <v>1000000</v>
      </c>
      <c r="Q10" s="131">
        <v>1000000</v>
      </c>
      <c r="R10" s="128" t="s">
        <v>225</v>
      </c>
    </row>
    <row r="11" spans="1:18" ht="26.15" customHeight="1" x14ac:dyDescent="0.55000000000000004">
      <c r="A11" s="112" t="s">
        <v>429</v>
      </c>
      <c r="B11" s="118" t="s">
        <v>112</v>
      </c>
      <c r="C11" s="118" t="s">
        <v>435</v>
      </c>
      <c r="D11" s="119">
        <f t="shared" si="0"/>
        <v>11550000</v>
      </c>
      <c r="E11" s="119">
        <f t="shared" si="1"/>
        <v>0</v>
      </c>
      <c r="F11" s="130">
        <v>6600000</v>
      </c>
      <c r="G11" s="133">
        <v>4950000</v>
      </c>
      <c r="H11" s="133">
        <v>0</v>
      </c>
      <c r="I11" s="130">
        <v>0</v>
      </c>
      <c r="J11" s="131">
        <v>0</v>
      </c>
      <c r="K11" s="131">
        <v>0</v>
      </c>
      <c r="L11" s="131">
        <v>0</v>
      </c>
      <c r="M11" s="131">
        <v>0</v>
      </c>
      <c r="N11" s="131">
        <v>0</v>
      </c>
      <c r="O11" s="131">
        <v>0</v>
      </c>
      <c r="P11" s="131">
        <v>0</v>
      </c>
      <c r="Q11" s="131">
        <v>0</v>
      </c>
      <c r="R11" s="128" t="s">
        <v>9</v>
      </c>
    </row>
    <row r="12" spans="1:18" ht="26.15" customHeight="1" x14ac:dyDescent="0.55000000000000004">
      <c r="A12" s="112" t="s">
        <v>429</v>
      </c>
      <c r="B12" s="118" t="s">
        <v>112</v>
      </c>
      <c r="C12" s="118" t="s">
        <v>113</v>
      </c>
      <c r="D12" s="119">
        <f t="shared" si="0"/>
        <v>25100000</v>
      </c>
      <c r="E12" s="119">
        <f t="shared" si="1"/>
        <v>12120000</v>
      </c>
      <c r="F12" s="130">
        <v>0</v>
      </c>
      <c r="G12" s="130">
        <v>0</v>
      </c>
      <c r="H12" s="130">
        <v>6700000</v>
      </c>
      <c r="I12" s="130">
        <v>6280000</v>
      </c>
      <c r="J12" s="131">
        <v>5580000</v>
      </c>
      <c r="K12" s="131">
        <v>4180000</v>
      </c>
      <c r="L12" s="131">
        <v>2360000</v>
      </c>
      <c r="M12" s="131">
        <v>0</v>
      </c>
      <c r="N12" s="131">
        <v>0</v>
      </c>
      <c r="O12" s="131">
        <v>0</v>
      </c>
      <c r="P12" s="131">
        <v>0</v>
      </c>
      <c r="Q12" s="131">
        <v>0</v>
      </c>
      <c r="R12" s="128" t="s">
        <v>9</v>
      </c>
    </row>
    <row r="13" spans="1:18" ht="26.15" customHeight="1" x14ac:dyDescent="0.55000000000000004">
      <c r="A13" s="112" t="s">
        <v>429</v>
      </c>
      <c r="B13" s="118" t="s">
        <v>112</v>
      </c>
      <c r="C13" s="118" t="s">
        <v>116</v>
      </c>
      <c r="D13" s="119">
        <f t="shared" si="0"/>
        <v>20050000</v>
      </c>
      <c r="E13" s="119">
        <f t="shared" si="1"/>
        <v>20050000</v>
      </c>
      <c r="F13" s="130">
        <v>0</v>
      </c>
      <c r="G13" s="130">
        <v>0</v>
      </c>
      <c r="H13" s="130">
        <v>0</v>
      </c>
      <c r="I13" s="130">
        <v>0</v>
      </c>
      <c r="J13" s="131">
        <v>0</v>
      </c>
      <c r="K13" s="131">
        <v>0</v>
      </c>
      <c r="L13" s="131">
        <v>0</v>
      </c>
      <c r="M13" s="132">
        <v>3410000</v>
      </c>
      <c r="N13" s="131">
        <v>3880000</v>
      </c>
      <c r="O13" s="131">
        <v>3880000</v>
      </c>
      <c r="P13" s="131">
        <v>4440000</v>
      </c>
      <c r="Q13" s="131">
        <v>4440000</v>
      </c>
      <c r="R13" s="128" t="s">
        <v>225</v>
      </c>
    </row>
    <row r="14" spans="1:18" ht="26.15" customHeight="1" x14ac:dyDescent="0.55000000000000004">
      <c r="A14" s="112" t="s">
        <v>429</v>
      </c>
      <c r="B14" s="118" t="s">
        <v>112</v>
      </c>
      <c r="C14" s="134" t="s">
        <v>436</v>
      </c>
      <c r="D14" s="119">
        <f t="shared" si="0"/>
        <v>1750000</v>
      </c>
      <c r="E14" s="119">
        <f t="shared" si="1"/>
        <v>0</v>
      </c>
      <c r="F14" s="130">
        <v>1750000</v>
      </c>
      <c r="G14" s="130">
        <v>0</v>
      </c>
      <c r="H14" s="130">
        <v>0</v>
      </c>
      <c r="I14" s="130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28" t="s">
        <v>175</v>
      </c>
    </row>
    <row r="15" spans="1:18" ht="26.15" customHeight="1" x14ac:dyDescent="0.55000000000000004">
      <c r="A15" s="112" t="s">
        <v>429</v>
      </c>
      <c r="B15" s="118" t="s">
        <v>112</v>
      </c>
      <c r="C15" s="134" t="s">
        <v>119</v>
      </c>
      <c r="D15" s="119">
        <f t="shared" si="0"/>
        <v>3000000</v>
      </c>
      <c r="E15" s="119">
        <f t="shared" si="1"/>
        <v>3000000</v>
      </c>
      <c r="F15" s="130">
        <v>0</v>
      </c>
      <c r="G15" s="130">
        <v>0</v>
      </c>
      <c r="H15" s="130">
        <v>0</v>
      </c>
      <c r="I15" s="130">
        <v>0</v>
      </c>
      <c r="J15" s="131">
        <v>0</v>
      </c>
      <c r="K15" s="131">
        <v>0</v>
      </c>
      <c r="L15" s="131">
        <v>0</v>
      </c>
      <c r="M15" s="131">
        <v>0</v>
      </c>
      <c r="N15" s="131">
        <v>0</v>
      </c>
      <c r="O15" s="132">
        <v>1000000</v>
      </c>
      <c r="P15" s="131">
        <v>1000000</v>
      </c>
      <c r="Q15" s="131">
        <v>1000000</v>
      </c>
      <c r="R15" s="122" t="s">
        <v>15</v>
      </c>
    </row>
    <row r="16" spans="1:18" ht="26.15" customHeight="1" x14ac:dyDescent="0.55000000000000004">
      <c r="A16" s="112" t="s">
        <v>429</v>
      </c>
      <c r="B16" s="118" t="s">
        <v>112</v>
      </c>
      <c r="C16" s="134" t="s">
        <v>124</v>
      </c>
      <c r="D16" s="119">
        <f t="shared" si="0"/>
        <v>2000000</v>
      </c>
      <c r="E16" s="119">
        <f t="shared" si="1"/>
        <v>2000000</v>
      </c>
      <c r="F16" s="130">
        <v>0</v>
      </c>
      <c r="G16" s="130">
        <v>0</v>
      </c>
      <c r="H16" s="130">
        <v>0</v>
      </c>
      <c r="I16" s="130">
        <v>0</v>
      </c>
      <c r="J16" s="131">
        <v>0</v>
      </c>
      <c r="K16" s="131">
        <v>0</v>
      </c>
      <c r="L16" s="131">
        <v>0</v>
      </c>
      <c r="M16" s="131">
        <v>0</v>
      </c>
      <c r="N16" s="132">
        <v>1000000</v>
      </c>
      <c r="O16" s="131">
        <v>1000000</v>
      </c>
      <c r="P16" s="131">
        <v>0</v>
      </c>
      <c r="Q16" s="131">
        <v>0</v>
      </c>
      <c r="R16" s="128" t="s">
        <v>11</v>
      </c>
    </row>
    <row r="17" spans="1:18" ht="26.15" customHeight="1" x14ac:dyDescent="0.55000000000000004">
      <c r="A17" s="112" t="s">
        <v>429</v>
      </c>
      <c r="B17" s="118" t="s">
        <v>112</v>
      </c>
      <c r="C17" s="134" t="s">
        <v>437</v>
      </c>
      <c r="D17" s="119">
        <f t="shared" si="0"/>
        <v>12000000</v>
      </c>
      <c r="E17" s="119">
        <f t="shared" si="1"/>
        <v>12000000</v>
      </c>
      <c r="F17" s="130"/>
      <c r="G17" s="130"/>
      <c r="H17" s="130"/>
      <c r="I17" s="130"/>
      <c r="J17" s="131"/>
      <c r="K17" s="131"/>
      <c r="L17" s="131"/>
      <c r="M17" s="131"/>
      <c r="N17" s="140">
        <v>3000000</v>
      </c>
      <c r="O17" s="131">
        <v>3000000</v>
      </c>
      <c r="P17" s="131">
        <v>3000000</v>
      </c>
      <c r="Q17" s="131">
        <v>3000000</v>
      </c>
      <c r="R17" s="128" t="s">
        <v>15</v>
      </c>
    </row>
    <row r="18" spans="1:18" ht="26.15" customHeight="1" x14ac:dyDescent="0.55000000000000004">
      <c r="A18" s="112" t="s">
        <v>438</v>
      </c>
      <c r="B18" s="118" t="s">
        <v>169</v>
      </c>
      <c r="C18" s="118" t="s">
        <v>439</v>
      </c>
      <c r="D18" s="119">
        <f t="shared" si="0"/>
        <v>22730000</v>
      </c>
      <c r="E18" s="119"/>
      <c r="F18" s="120">
        <v>4900000</v>
      </c>
      <c r="G18" s="120">
        <v>2900000</v>
      </c>
      <c r="H18" s="120">
        <v>2330000</v>
      </c>
      <c r="I18" s="120">
        <v>2100000</v>
      </c>
      <c r="J18" s="121">
        <v>2100000</v>
      </c>
      <c r="K18" s="121">
        <v>2100000</v>
      </c>
      <c r="L18" s="121">
        <v>2100000</v>
      </c>
      <c r="M18" s="121">
        <v>2100000</v>
      </c>
      <c r="N18" s="121">
        <v>2100000</v>
      </c>
      <c r="O18" s="121">
        <v>0</v>
      </c>
      <c r="P18" s="121">
        <v>0</v>
      </c>
      <c r="Q18" s="121">
        <v>0</v>
      </c>
      <c r="R18" s="122" t="s">
        <v>9</v>
      </c>
    </row>
    <row r="19" spans="1:18" ht="26.15" customHeight="1" x14ac:dyDescent="0.55000000000000004">
      <c r="A19" s="112" t="s">
        <v>438</v>
      </c>
      <c r="B19" s="118" t="s">
        <v>169</v>
      </c>
      <c r="C19" s="118" t="s">
        <v>440</v>
      </c>
      <c r="D19" s="119">
        <f t="shared" si="0"/>
        <v>6300000</v>
      </c>
      <c r="E19" s="119"/>
      <c r="F19" s="120">
        <v>0</v>
      </c>
      <c r="G19" s="120">
        <v>0</v>
      </c>
      <c r="H19" s="120">
        <v>0</v>
      </c>
      <c r="I19" s="120">
        <v>0</v>
      </c>
      <c r="J19" s="121">
        <v>0</v>
      </c>
      <c r="K19" s="121">
        <v>0</v>
      </c>
      <c r="L19" s="121">
        <v>0</v>
      </c>
      <c r="M19" s="121">
        <v>0</v>
      </c>
      <c r="N19" s="121">
        <v>0</v>
      </c>
      <c r="O19" s="123">
        <v>2100000</v>
      </c>
      <c r="P19" s="121">
        <v>2100000</v>
      </c>
      <c r="Q19" s="121">
        <v>2100000</v>
      </c>
      <c r="R19" s="122" t="s">
        <v>9</v>
      </c>
    </row>
    <row r="20" spans="1:18" ht="26.15" customHeight="1" x14ac:dyDescent="0.55000000000000004">
      <c r="A20" s="112" t="s">
        <v>438</v>
      </c>
      <c r="B20" s="118" t="s">
        <v>169</v>
      </c>
      <c r="C20" s="118" t="s">
        <v>441</v>
      </c>
      <c r="D20" s="119">
        <f t="shared" si="0"/>
        <v>34800000</v>
      </c>
      <c r="E20" s="119"/>
      <c r="F20" s="120">
        <v>4600000</v>
      </c>
      <c r="G20" s="120">
        <v>4600000</v>
      </c>
      <c r="H20" s="120">
        <v>4600000</v>
      </c>
      <c r="I20" s="120">
        <v>2750000</v>
      </c>
      <c r="J20" s="121">
        <v>2750000</v>
      </c>
      <c r="K20" s="121">
        <v>2750000</v>
      </c>
      <c r="L20" s="121">
        <v>4250000</v>
      </c>
      <c r="M20" s="121">
        <v>4250000</v>
      </c>
      <c r="N20" s="121">
        <v>4250000</v>
      </c>
      <c r="O20" s="121">
        <v>0</v>
      </c>
      <c r="P20" s="121">
        <v>0</v>
      </c>
      <c r="Q20" s="121">
        <v>0</v>
      </c>
      <c r="R20" s="122" t="s">
        <v>9</v>
      </c>
    </row>
    <row r="21" spans="1:18" ht="26.15" customHeight="1" x14ac:dyDescent="0.55000000000000004">
      <c r="A21" s="112" t="s">
        <v>438</v>
      </c>
      <c r="B21" s="118" t="s">
        <v>169</v>
      </c>
      <c r="C21" s="118" t="s">
        <v>442</v>
      </c>
      <c r="D21" s="119">
        <f t="shared" si="0"/>
        <v>14050000</v>
      </c>
      <c r="E21" s="119"/>
      <c r="F21" s="120">
        <v>0</v>
      </c>
      <c r="G21" s="120">
        <v>0</v>
      </c>
      <c r="H21" s="120">
        <v>0</v>
      </c>
      <c r="I21" s="120">
        <v>0</v>
      </c>
      <c r="J21" s="121">
        <v>0</v>
      </c>
      <c r="K21" s="121">
        <v>0</v>
      </c>
      <c r="L21" s="121">
        <v>0</v>
      </c>
      <c r="M21" s="121">
        <v>0</v>
      </c>
      <c r="N21" s="121">
        <v>0</v>
      </c>
      <c r="O21" s="123">
        <v>4850000</v>
      </c>
      <c r="P21" s="121">
        <v>4850000</v>
      </c>
      <c r="Q21" s="121">
        <v>4350000</v>
      </c>
      <c r="R21" s="122" t="s">
        <v>9</v>
      </c>
    </row>
    <row r="22" spans="1:18" ht="26.15" customHeight="1" x14ac:dyDescent="0.55000000000000004">
      <c r="A22" s="112" t="s">
        <v>438</v>
      </c>
      <c r="B22" s="118" t="s">
        <v>131</v>
      </c>
      <c r="C22" s="118" t="s">
        <v>443</v>
      </c>
      <c r="D22" s="119">
        <f t="shared" si="0"/>
        <v>8400000</v>
      </c>
      <c r="E22" s="119">
        <f t="shared" ref="E22:E30" si="2">SUBTOTAL(9,J22:Q22)</f>
        <v>3750000</v>
      </c>
      <c r="F22" s="120">
        <v>1300000</v>
      </c>
      <c r="G22" s="120">
        <v>1300000</v>
      </c>
      <c r="H22" s="120">
        <v>1300000</v>
      </c>
      <c r="I22" s="120">
        <v>750000</v>
      </c>
      <c r="J22" s="121">
        <v>750000</v>
      </c>
      <c r="K22" s="121">
        <v>750000</v>
      </c>
      <c r="L22" s="121">
        <v>750000</v>
      </c>
      <c r="M22" s="121">
        <v>750000</v>
      </c>
      <c r="N22" s="121">
        <v>750000</v>
      </c>
      <c r="O22" s="121">
        <v>0</v>
      </c>
      <c r="P22" s="121">
        <v>0</v>
      </c>
      <c r="Q22" s="121">
        <v>0</v>
      </c>
      <c r="R22" s="122" t="s">
        <v>9</v>
      </c>
    </row>
    <row r="23" spans="1:18" ht="26.15" customHeight="1" x14ac:dyDescent="0.55000000000000004">
      <c r="A23" s="112" t="s">
        <v>438</v>
      </c>
      <c r="B23" s="118" t="s">
        <v>131</v>
      </c>
      <c r="C23" s="118" t="s">
        <v>444</v>
      </c>
      <c r="D23" s="119">
        <f t="shared" si="0"/>
        <v>2250000</v>
      </c>
      <c r="E23" s="119">
        <f t="shared" si="2"/>
        <v>2250000</v>
      </c>
      <c r="F23" s="120">
        <v>0</v>
      </c>
      <c r="G23" s="120">
        <v>0</v>
      </c>
      <c r="H23" s="120">
        <v>0</v>
      </c>
      <c r="I23" s="120">
        <v>0</v>
      </c>
      <c r="J23" s="121">
        <v>0</v>
      </c>
      <c r="K23" s="121">
        <v>0</v>
      </c>
      <c r="L23" s="121">
        <v>0</v>
      </c>
      <c r="M23" s="121">
        <v>0</v>
      </c>
      <c r="N23" s="121">
        <v>0</v>
      </c>
      <c r="O23" s="126">
        <v>750000</v>
      </c>
      <c r="P23" s="121">
        <v>750000</v>
      </c>
      <c r="Q23" s="121">
        <v>750000</v>
      </c>
      <c r="R23" s="122" t="s">
        <v>9</v>
      </c>
    </row>
    <row r="24" spans="1:18" ht="26.15" customHeight="1" x14ac:dyDescent="0.55000000000000004">
      <c r="A24" s="112" t="s">
        <v>438</v>
      </c>
      <c r="B24" s="118" t="s">
        <v>131</v>
      </c>
      <c r="C24" s="118" t="s">
        <v>445</v>
      </c>
      <c r="D24" s="119">
        <f t="shared" si="0"/>
        <v>12300000</v>
      </c>
      <c r="E24" s="119">
        <f t="shared" si="2"/>
        <v>12300000</v>
      </c>
      <c r="F24" s="120">
        <v>0</v>
      </c>
      <c r="G24" s="120">
        <v>0</v>
      </c>
      <c r="H24" s="120">
        <v>0</v>
      </c>
      <c r="I24" s="120">
        <v>0</v>
      </c>
      <c r="J24" s="121">
        <v>0</v>
      </c>
      <c r="K24" s="121">
        <v>0</v>
      </c>
      <c r="L24" s="123">
        <v>1000000</v>
      </c>
      <c r="M24" s="121">
        <v>1000000</v>
      </c>
      <c r="N24" s="121">
        <v>3500000</v>
      </c>
      <c r="O24" s="121">
        <v>3500000</v>
      </c>
      <c r="P24" s="121">
        <v>1650000</v>
      </c>
      <c r="Q24" s="121">
        <v>1650000</v>
      </c>
      <c r="R24" s="128" t="s">
        <v>15</v>
      </c>
    </row>
    <row r="25" spans="1:18" s="113" customFormat="1" ht="26.15" customHeight="1" x14ac:dyDescent="0.55000000000000004">
      <c r="A25" s="112" t="s">
        <v>438</v>
      </c>
      <c r="B25" s="118" t="s">
        <v>131</v>
      </c>
      <c r="C25" s="118" t="s">
        <v>446</v>
      </c>
      <c r="D25" s="119">
        <f t="shared" si="0"/>
        <v>47500000</v>
      </c>
      <c r="E25" s="119">
        <f t="shared" si="2"/>
        <v>47500000</v>
      </c>
      <c r="F25" s="120">
        <v>0</v>
      </c>
      <c r="G25" s="120">
        <v>0</v>
      </c>
      <c r="H25" s="120">
        <v>0</v>
      </c>
      <c r="I25" s="120">
        <v>0</v>
      </c>
      <c r="J25" s="121">
        <v>0</v>
      </c>
      <c r="K25" s="126">
        <v>12320000</v>
      </c>
      <c r="L25" s="121">
        <v>12320000</v>
      </c>
      <c r="M25" s="121">
        <v>12320000</v>
      </c>
      <c r="N25" s="121">
        <v>10540000</v>
      </c>
      <c r="O25" s="121">
        <v>0</v>
      </c>
      <c r="P25" s="121">
        <v>0</v>
      </c>
      <c r="Q25" s="121">
        <v>0</v>
      </c>
      <c r="R25" s="122" t="s">
        <v>9</v>
      </c>
    </row>
    <row r="26" spans="1:18" s="113" customFormat="1" ht="26.15" customHeight="1" x14ac:dyDescent="0.55000000000000004">
      <c r="A26" s="112" t="s">
        <v>438</v>
      </c>
      <c r="B26" s="118" t="s">
        <v>131</v>
      </c>
      <c r="C26" s="118" t="s">
        <v>447</v>
      </c>
      <c r="D26" s="119">
        <f t="shared" si="0"/>
        <v>29620000</v>
      </c>
      <c r="E26" s="119">
        <f t="shared" si="2"/>
        <v>29620000</v>
      </c>
      <c r="F26" s="120">
        <v>0</v>
      </c>
      <c r="G26" s="120">
        <v>0</v>
      </c>
      <c r="H26" s="120">
        <v>0</v>
      </c>
      <c r="I26" s="120">
        <v>0</v>
      </c>
      <c r="J26" s="121">
        <v>0</v>
      </c>
      <c r="K26" s="121">
        <v>0</v>
      </c>
      <c r="L26" s="121">
        <v>0</v>
      </c>
      <c r="M26" s="121">
        <v>0</v>
      </c>
      <c r="N26" s="121">
        <v>0</v>
      </c>
      <c r="O26" s="123">
        <v>10540000</v>
      </c>
      <c r="P26" s="121">
        <v>10540000</v>
      </c>
      <c r="Q26" s="121">
        <v>8540000</v>
      </c>
      <c r="R26" s="122" t="s">
        <v>9</v>
      </c>
    </row>
    <row r="27" spans="1:18" s="113" customFormat="1" ht="26.15" customHeight="1" x14ac:dyDescent="0.55000000000000004">
      <c r="A27" s="112" t="s">
        <v>438</v>
      </c>
      <c r="B27" s="118" t="s">
        <v>448</v>
      </c>
      <c r="C27" s="118" t="s">
        <v>201</v>
      </c>
      <c r="D27" s="119">
        <f t="shared" si="0"/>
        <v>13500000</v>
      </c>
      <c r="E27" s="119">
        <f t="shared" si="2"/>
        <v>13500000</v>
      </c>
      <c r="F27" s="130">
        <v>0</v>
      </c>
      <c r="G27" s="130">
        <v>0</v>
      </c>
      <c r="H27" s="130">
        <v>0</v>
      </c>
      <c r="I27" s="130">
        <v>0</v>
      </c>
      <c r="J27" s="131">
        <v>0</v>
      </c>
      <c r="K27" s="131">
        <v>0</v>
      </c>
      <c r="L27" s="131">
        <v>0</v>
      </c>
      <c r="M27" s="131">
        <v>0</v>
      </c>
      <c r="N27" s="131">
        <v>0</v>
      </c>
      <c r="O27" s="132">
        <v>4500000</v>
      </c>
      <c r="P27" s="131">
        <v>4500000</v>
      </c>
      <c r="Q27" s="131">
        <v>4500000</v>
      </c>
      <c r="R27" s="128" t="s">
        <v>15</v>
      </c>
    </row>
    <row r="28" spans="1:18" s="113" customFormat="1" ht="26.15" customHeight="1" x14ac:dyDescent="0.55000000000000004">
      <c r="A28" s="112" t="s">
        <v>438</v>
      </c>
      <c r="B28" s="118" t="s">
        <v>449</v>
      </c>
      <c r="C28" s="118" t="s">
        <v>201</v>
      </c>
      <c r="D28" s="119">
        <f t="shared" si="0"/>
        <v>9000000</v>
      </c>
      <c r="E28" s="119">
        <f t="shared" si="2"/>
        <v>9000000</v>
      </c>
      <c r="F28" s="130">
        <v>0</v>
      </c>
      <c r="G28" s="130">
        <v>0</v>
      </c>
      <c r="H28" s="130">
        <v>0</v>
      </c>
      <c r="I28" s="120">
        <v>0</v>
      </c>
      <c r="J28" s="121">
        <v>0</v>
      </c>
      <c r="K28" s="121">
        <v>0</v>
      </c>
      <c r="L28" s="121">
        <v>0</v>
      </c>
      <c r="M28" s="121">
        <v>0</v>
      </c>
      <c r="N28" s="121">
        <v>0</v>
      </c>
      <c r="O28" s="126">
        <v>3000000</v>
      </c>
      <c r="P28" s="121">
        <v>3000000</v>
      </c>
      <c r="Q28" s="121">
        <v>3000000</v>
      </c>
      <c r="R28" s="128" t="s">
        <v>15</v>
      </c>
    </row>
    <row r="29" spans="1:18" s="113" customFormat="1" ht="26.15" customHeight="1" x14ac:dyDescent="0.55000000000000004">
      <c r="A29" s="112" t="s">
        <v>438</v>
      </c>
      <c r="B29" s="118" t="s">
        <v>450</v>
      </c>
      <c r="C29" s="118" t="s">
        <v>201</v>
      </c>
      <c r="D29" s="119">
        <f t="shared" si="0"/>
        <v>9000000</v>
      </c>
      <c r="E29" s="119">
        <f t="shared" si="2"/>
        <v>9000000</v>
      </c>
      <c r="F29" s="120">
        <v>0</v>
      </c>
      <c r="G29" s="120">
        <v>0</v>
      </c>
      <c r="H29" s="120">
        <v>0</v>
      </c>
      <c r="I29" s="120">
        <v>0</v>
      </c>
      <c r="J29" s="121">
        <v>0</v>
      </c>
      <c r="K29" s="121">
        <v>0</v>
      </c>
      <c r="L29" s="121">
        <v>0</v>
      </c>
      <c r="M29" s="121">
        <v>0</v>
      </c>
      <c r="N29" s="121">
        <v>0</v>
      </c>
      <c r="O29" s="126">
        <v>3000000</v>
      </c>
      <c r="P29" s="121">
        <v>3000000</v>
      </c>
      <c r="Q29" s="121">
        <v>3000000</v>
      </c>
      <c r="R29" s="128" t="s">
        <v>15</v>
      </c>
    </row>
    <row r="30" spans="1:18" s="113" customFormat="1" ht="26.15" customHeight="1" x14ac:dyDescent="0.55000000000000004">
      <c r="A30" s="112" t="s">
        <v>451</v>
      </c>
      <c r="B30" s="118" t="s">
        <v>261</v>
      </c>
      <c r="C30" s="118" t="s">
        <v>452</v>
      </c>
      <c r="D30" s="119">
        <f t="shared" si="0"/>
        <v>1673347.5</v>
      </c>
      <c r="E30" s="119">
        <f t="shared" si="2"/>
        <v>800000</v>
      </c>
      <c r="F30" s="124">
        <v>439050</v>
      </c>
      <c r="G30" s="120">
        <v>0</v>
      </c>
      <c r="H30" s="120">
        <v>0</v>
      </c>
      <c r="I30" s="124">
        <v>434297.5</v>
      </c>
      <c r="J30" s="125">
        <v>0</v>
      </c>
      <c r="K30" s="125">
        <v>0</v>
      </c>
      <c r="L30" s="123">
        <v>400000</v>
      </c>
      <c r="M30" s="121">
        <v>0</v>
      </c>
      <c r="N30" s="121">
        <v>0</v>
      </c>
      <c r="O30" s="123">
        <v>400000</v>
      </c>
      <c r="P30" s="121">
        <v>0</v>
      </c>
      <c r="Q30" s="121">
        <v>0</v>
      </c>
      <c r="R30" s="122" t="s">
        <v>175</v>
      </c>
    </row>
    <row r="31" spans="1:18" s="113" customFormat="1" ht="26.15" customHeight="1" x14ac:dyDescent="0.55000000000000004">
      <c r="A31" s="112" t="s">
        <v>451</v>
      </c>
      <c r="B31" s="118" t="s">
        <v>261</v>
      </c>
      <c r="C31" s="118" t="s">
        <v>453</v>
      </c>
      <c r="D31" s="119">
        <f t="shared" si="0"/>
        <v>382950</v>
      </c>
      <c r="E31" s="119"/>
      <c r="F31" s="124">
        <f>30900+16650</f>
        <v>47550</v>
      </c>
      <c r="G31" s="124">
        <v>129900</v>
      </c>
      <c r="H31" s="124">
        <v>70950</v>
      </c>
      <c r="I31" s="124">
        <v>134550</v>
      </c>
      <c r="J31" s="121">
        <v>0</v>
      </c>
      <c r="K31" s="121">
        <v>0</v>
      </c>
      <c r="L31" s="121">
        <v>0</v>
      </c>
      <c r="M31" s="121">
        <v>0</v>
      </c>
      <c r="N31" s="121">
        <v>0</v>
      </c>
      <c r="O31" s="121">
        <v>0</v>
      </c>
      <c r="P31" s="121">
        <v>0</v>
      </c>
      <c r="Q31" s="121">
        <v>0</v>
      </c>
      <c r="R31" s="122" t="s">
        <v>9</v>
      </c>
    </row>
    <row r="32" spans="1:18" s="113" customFormat="1" ht="26.15" customHeight="1" x14ac:dyDescent="0.55000000000000004">
      <c r="A32" s="112" t="s">
        <v>451</v>
      </c>
      <c r="B32" s="118" t="s">
        <v>261</v>
      </c>
      <c r="C32" s="118" t="s">
        <v>267</v>
      </c>
      <c r="D32" s="119">
        <f t="shared" si="0"/>
        <v>20503700</v>
      </c>
      <c r="E32" s="119">
        <f t="shared" ref="E32:E56" si="3">SUBTOTAL(9,J32:Q32)</f>
        <v>18893750</v>
      </c>
      <c r="F32" s="124">
        <v>0</v>
      </c>
      <c r="G32" s="124">
        <v>462450</v>
      </c>
      <c r="H32" s="124">
        <v>1147500</v>
      </c>
      <c r="I32" s="124">
        <v>0</v>
      </c>
      <c r="J32" s="126">
        <v>181250</v>
      </c>
      <c r="K32" s="125">
        <v>4137500</v>
      </c>
      <c r="L32" s="125">
        <v>3387500</v>
      </c>
      <c r="M32" s="125">
        <v>2237500</v>
      </c>
      <c r="N32" s="125">
        <v>2237500</v>
      </c>
      <c r="O32" s="125">
        <v>2237500</v>
      </c>
      <c r="P32" s="125">
        <v>2237500</v>
      </c>
      <c r="Q32" s="125">
        <v>2237500</v>
      </c>
      <c r="R32" s="122" t="s">
        <v>9</v>
      </c>
    </row>
    <row r="33" spans="1:18" s="113" customFormat="1" ht="26.15" customHeight="1" x14ac:dyDescent="0.55000000000000004">
      <c r="A33" s="112" t="s">
        <v>451</v>
      </c>
      <c r="B33" s="118" t="s">
        <v>261</v>
      </c>
      <c r="C33" s="127" t="s">
        <v>454</v>
      </c>
      <c r="D33" s="119">
        <f t="shared" si="0"/>
        <v>78000</v>
      </c>
      <c r="E33" s="119">
        <f t="shared" si="3"/>
        <v>0</v>
      </c>
      <c r="F33" s="124">
        <v>78000</v>
      </c>
      <c r="G33" s="120"/>
      <c r="H33" s="120"/>
      <c r="I33" s="120"/>
      <c r="J33" s="121"/>
      <c r="K33" s="121"/>
      <c r="L33" s="121"/>
      <c r="M33" s="121"/>
      <c r="N33" s="121"/>
      <c r="O33" s="121"/>
      <c r="P33" s="121"/>
      <c r="Q33" s="121"/>
      <c r="R33" s="122" t="s">
        <v>9</v>
      </c>
    </row>
    <row r="34" spans="1:18" s="113" customFormat="1" ht="26.15" customHeight="1" x14ac:dyDescent="0.55000000000000004">
      <c r="A34" s="112" t="s">
        <v>451</v>
      </c>
      <c r="B34" s="118" t="s">
        <v>407</v>
      </c>
      <c r="C34" s="118" t="s">
        <v>455</v>
      </c>
      <c r="D34" s="119">
        <f t="shared" ref="D34:D57" si="4">SUM(F34:Q34)</f>
        <v>2599950</v>
      </c>
      <c r="E34" s="119">
        <f t="shared" si="3"/>
        <v>0</v>
      </c>
      <c r="F34" s="124">
        <v>0</v>
      </c>
      <c r="G34" s="124">
        <v>858000</v>
      </c>
      <c r="H34" s="124">
        <v>1741950</v>
      </c>
      <c r="I34" s="124">
        <v>0</v>
      </c>
      <c r="J34" s="125">
        <v>0</v>
      </c>
      <c r="K34" s="125">
        <v>0</v>
      </c>
      <c r="L34" s="125">
        <v>0</v>
      </c>
      <c r="M34" s="125">
        <v>0</v>
      </c>
      <c r="N34" s="125">
        <v>0</v>
      </c>
      <c r="O34" s="125">
        <v>0</v>
      </c>
      <c r="P34" s="125">
        <v>0</v>
      </c>
      <c r="Q34" s="125">
        <v>0</v>
      </c>
      <c r="R34" s="122" t="s">
        <v>9</v>
      </c>
    </row>
    <row r="35" spans="1:18" s="113" customFormat="1" ht="26.15" customHeight="1" x14ac:dyDescent="0.55000000000000004">
      <c r="A35" s="112" t="s">
        <v>451</v>
      </c>
      <c r="B35" s="118" t="s">
        <v>407</v>
      </c>
      <c r="C35" s="118" t="s">
        <v>456</v>
      </c>
      <c r="D35" s="119">
        <f t="shared" si="4"/>
        <v>5050000</v>
      </c>
      <c r="E35" s="119">
        <f t="shared" si="3"/>
        <v>3787559.9993599998</v>
      </c>
      <c r="F35" s="124">
        <v>0</v>
      </c>
      <c r="G35" s="124">
        <v>0</v>
      </c>
      <c r="H35" s="120">
        <v>0</v>
      </c>
      <c r="I35" s="124">
        <v>1262440.00064</v>
      </c>
      <c r="J35" s="125">
        <f>2525000-I35</f>
        <v>1262559.99936</v>
      </c>
      <c r="K35" s="125">
        <v>2525000</v>
      </c>
      <c r="L35" s="121">
        <v>0</v>
      </c>
      <c r="M35" s="121">
        <v>0</v>
      </c>
      <c r="N35" s="121">
        <v>0</v>
      </c>
      <c r="O35" s="121">
        <v>0</v>
      </c>
      <c r="P35" s="121">
        <v>0</v>
      </c>
      <c r="Q35" s="121">
        <v>0</v>
      </c>
      <c r="R35" s="122" t="s">
        <v>9</v>
      </c>
    </row>
    <row r="36" spans="1:18" s="113" customFormat="1" ht="26.15" customHeight="1" x14ac:dyDescent="0.55000000000000004">
      <c r="A36" s="112" t="s">
        <v>451</v>
      </c>
      <c r="B36" s="118" t="s">
        <v>407</v>
      </c>
      <c r="C36" s="118" t="s">
        <v>457</v>
      </c>
      <c r="D36" s="119">
        <f t="shared" si="4"/>
        <v>600000</v>
      </c>
      <c r="E36" s="119">
        <f t="shared" si="3"/>
        <v>0</v>
      </c>
      <c r="F36" s="124">
        <v>300000</v>
      </c>
      <c r="G36" s="124">
        <v>300000</v>
      </c>
      <c r="H36" s="120">
        <v>0</v>
      </c>
      <c r="I36" s="120">
        <v>0</v>
      </c>
      <c r="J36" s="121">
        <v>0</v>
      </c>
      <c r="K36" s="121">
        <v>0</v>
      </c>
      <c r="L36" s="121">
        <v>0</v>
      </c>
      <c r="M36" s="121">
        <v>0</v>
      </c>
      <c r="N36" s="121">
        <v>0</v>
      </c>
      <c r="O36" s="121">
        <v>0</v>
      </c>
      <c r="P36" s="121">
        <v>0</v>
      </c>
      <c r="Q36" s="121">
        <v>0</v>
      </c>
      <c r="R36" s="122" t="s">
        <v>9</v>
      </c>
    </row>
    <row r="37" spans="1:18" s="113" customFormat="1" ht="26.15" customHeight="1" x14ac:dyDescent="0.55000000000000004">
      <c r="A37" s="112" t="s">
        <v>451</v>
      </c>
      <c r="B37" s="118" t="s">
        <v>272</v>
      </c>
      <c r="C37" s="118" t="s">
        <v>458</v>
      </c>
      <c r="D37" s="119">
        <f t="shared" si="4"/>
        <v>20700000</v>
      </c>
      <c r="E37" s="119">
        <f t="shared" si="3"/>
        <v>20700000</v>
      </c>
      <c r="F37" s="120">
        <v>0</v>
      </c>
      <c r="G37" s="120">
        <v>0</v>
      </c>
      <c r="H37" s="120">
        <v>0</v>
      </c>
      <c r="I37" s="120">
        <v>0</v>
      </c>
      <c r="J37" s="121">
        <v>0</v>
      </c>
      <c r="K37" s="126">
        <v>0</v>
      </c>
      <c r="L37" s="123">
        <v>3450000</v>
      </c>
      <c r="M37" s="121">
        <v>3450000</v>
      </c>
      <c r="N37" s="121">
        <v>3450000</v>
      </c>
      <c r="O37" s="121">
        <v>3450000</v>
      </c>
      <c r="P37" s="121">
        <v>3450000</v>
      </c>
      <c r="Q37" s="121">
        <v>3450000</v>
      </c>
      <c r="R37" s="122" t="s">
        <v>15</v>
      </c>
    </row>
    <row r="38" spans="1:18" s="113" customFormat="1" ht="26.15" customHeight="1" x14ac:dyDescent="0.55000000000000004">
      <c r="A38" s="112" t="s">
        <v>451</v>
      </c>
      <c r="B38" s="127" t="s">
        <v>459</v>
      </c>
      <c r="C38" s="127" t="s">
        <v>460</v>
      </c>
      <c r="D38" s="119">
        <f t="shared" si="4"/>
        <v>10000000</v>
      </c>
      <c r="E38" s="119">
        <f t="shared" si="3"/>
        <v>10000000</v>
      </c>
      <c r="F38" s="136">
        <v>0</v>
      </c>
      <c r="G38" s="136">
        <v>0</v>
      </c>
      <c r="H38" s="136">
        <v>0</v>
      </c>
      <c r="I38" s="135">
        <v>0</v>
      </c>
      <c r="J38" s="137">
        <v>0</v>
      </c>
      <c r="K38" s="137">
        <v>0</v>
      </c>
      <c r="L38" s="139">
        <v>0</v>
      </c>
      <c r="M38" s="138">
        <v>2000000</v>
      </c>
      <c r="N38" s="139">
        <v>2000000</v>
      </c>
      <c r="O38" s="139">
        <v>2000000</v>
      </c>
      <c r="P38" s="139">
        <v>2000000</v>
      </c>
      <c r="Q38" s="139">
        <v>2000000</v>
      </c>
      <c r="R38" s="129" t="s">
        <v>349</v>
      </c>
    </row>
    <row r="39" spans="1:18" s="113" customFormat="1" ht="26.15" customHeight="1" x14ac:dyDescent="0.55000000000000004">
      <c r="A39" s="112" t="s">
        <v>451</v>
      </c>
      <c r="B39" s="118" t="s">
        <v>409</v>
      </c>
      <c r="C39" s="118" t="s">
        <v>461</v>
      </c>
      <c r="D39" s="119">
        <f t="shared" si="4"/>
        <v>0</v>
      </c>
      <c r="E39" s="119">
        <f t="shared" si="3"/>
        <v>0</v>
      </c>
      <c r="F39" s="120">
        <v>0</v>
      </c>
      <c r="G39" s="120">
        <v>0</v>
      </c>
      <c r="H39" s="120">
        <v>0</v>
      </c>
      <c r="I39" s="120">
        <v>0</v>
      </c>
      <c r="J39" s="121">
        <v>0</v>
      </c>
      <c r="K39" s="125">
        <v>0</v>
      </c>
      <c r="L39" s="125">
        <v>0</v>
      </c>
      <c r="M39" s="125">
        <v>0</v>
      </c>
      <c r="N39" s="125">
        <v>0</v>
      </c>
      <c r="O39" s="125">
        <v>0</v>
      </c>
      <c r="P39" s="125">
        <v>0</v>
      </c>
      <c r="Q39" s="125">
        <v>0</v>
      </c>
      <c r="R39" s="122" t="s">
        <v>15</v>
      </c>
    </row>
    <row r="40" spans="1:18" s="113" customFormat="1" ht="26.15" customHeight="1" x14ac:dyDescent="0.55000000000000004">
      <c r="A40" s="112" t="s">
        <v>451</v>
      </c>
      <c r="B40" s="118" t="s">
        <v>278</v>
      </c>
      <c r="C40" s="118" t="s">
        <v>462</v>
      </c>
      <c r="D40" s="119">
        <f t="shared" si="4"/>
        <v>4000000</v>
      </c>
      <c r="E40" s="119">
        <f t="shared" si="3"/>
        <v>4000000</v>
      </c>
      <c r="F40" s="120">
        <v>0</v>
      </c>
      <c r="G40" s="120">
        <v>0</v>
      </c>
      <c r="H40" s="120">
        <v>0</v>
      </c>
      <c r="I40" s="120">
        <v>0</v>
      </c>
      <c r="J40" s="121">
        <v>0</v>
      </c>
      <c r="K40" s="121">
        <v>0</v>
      </c>
      <c r="L40" s="121">
        <v>0</v>
      </c>
      <c r="M40" s="121">
        <v>0</v>
      </c>
      <c r="N40" s="123">
        <v>2000000</v>
      </c>
      <c r="O40" s="125">
        <v>2000000</v>
      </c>
      <c r="P40" s="125">
        <v>0</v>
      </c>
      <c r="Q40" s="125">
        <v>0</v>
      </c>
      <c r="R40" s="122" t="s">
        <v>27</v>
      </c>
    </row>
    <row r="41" spans="1:18" s="113" customFormat="1" ht="26.15" customHeight="1" x14ac:dyDescent="0.55000000000000004">
      <c r="A41" s="112" t="s">
        <v>451</v>
      </c>
      <c r="B41" s="118" t="s">
        <v>410</v>
      </c>
      <c r="C41" s="118" t="s">
        <v>463</v>
      </c>
      <c r="D41" s="119">
        <f t="shared" si="4"/>
        <v>3000000</v>
      </c>
      <c r="E41" s="119">
        <f t="shared" si="3"/>
        <v>0</v>
      </c>
      <c r="F41" s="124">
        <v>900000</v>
      </c>
      <c r="G41" s="124">
        <v>900000</v>
      </c>
      <c r="H41" s="124">
        <v>1200000</v>
      </c>
      <c r="I41" s="120">
        <v>0</v>
      </c>
      <c r="J41" s="121">
        <v>0</v>
      </c>
      <c r="K41" s="121">
        <v>0</v>
      </c>
      <c r="L41" s="121">
        <v>0</v>
      </c>
      <c r="M41" s="121">
        <v>0</v>
      </c>
      <c r="N41" s="121">
        <v>0</v>
      </c>
      <c r="O41" s="121">
        <v>0</v>
      </c>
      <c r="P41" s="121">
        <v>0</v>
      </c>
      <c r="Q41" s="121">
        <v>0</v>
      </c>
      <c r="R41" s="128" t="s">
        <v>175</v>
      </c>
    </row>
    <row r="42" spans="1:18" s="113" customFormat="1" ht="26.15" customHeight="1" x14ac:dyDescent="0.55000000000000004">
      <c r="A42" s="112" t="s">
        <v>451</v>
      </c>
      <c r="B42" s="118" t="s">
        <v>410</v>
      </c>
      <c r="C42" s="118" t="s">
        <v>464</v>
      </c>
      <c r="D42" s="119">
        <f t="shared" si="4"/>
        <v>0</v>
      </c>
      <c r="E42" s="119">
        <f t="shared" si="3"/>
        <v>0</v>
      </c>
      <c r="F42" s="120">
        <v>0</v>
      </c>
      <c r="G42" s="120">
        <v>0</v>
      </c>
      <c r="H42" s="120">
        <v>0</v>
      </c>
      <c r="I42" s="120">
        <v>0</v>
      </c>
      <c r="J42" s="121">
        <v>0</v>
      </c>
      <c r="K42" s="125">
        <v>0</v>
      </c>
      <c r="L42" s="125">
        <v>0</v>
      </c>
      <c r="M42" s="125">
        <v>0</v>
      </c>
      <c r="N42" s="125">
        <v>0</v>
      </c>
      <c r="O42" s="125">
        <v>0</v>
      </c>
      <c r="P42" s="125">
        <v>0</v>
      </c>
      <c r="Q42" s="125">
        <v>0</v>
      </c>
      <c r="R42" s="122" t="s">
        <v>15</v>
      </c>
    </row>
    <row r="43" spans="1:18" s="113" customFormat="1" ht="26.15" customHeight="1" x14ac:dyDescent="0.55000000000000004">
      <c r="A43" s="112" t="s">
        <v>451</v>
      </c>
      <c r="B43" s="127" t="s">
        <v>249</v>
      </c>
      <c r="C43" s="127" t="s">
        <v>465</v>
      </c>
      <c r="D43" s="119">
        <f t="shared" si="4"/>
        <v>20000000</v>
      </c>
      <c r="E43" s="119">
        <f t="shared" si="3"/>
        <v>20000000</v>
      </c>
      <c r="F43" s="136">
        <v>0</v>
      </c>
      <c r="G43" s="136">
        <v>0</v>
      </c>
      <c r="H43" s="136">
        <v>0</v>
      </c>
      <c r="I43" s="135">
        <v>0</v>
      </c>
      <c r="J43" s="137">
        <v>0</v>
      </c>
      <c r="K43" s="137">
        <v>0</v>
      </c>
      <c r="L43" s="139">
        <v>0</v>
      </c>
      <c r="M43" s="138">
        <v>4000000</v>
      </c>
      <c r="N43" s="139">
        <v>4000000</v>
      </c>
      <c r="O43" s="139">
        <v>4000000</v>
      </c>
      <c r="P43" s="139">
        <v>4000000</v>
      </c>
      <c r="Q43" s="139">
        <v>4000000</v>
      </c>
      <c r="R43" s="129" t="s">
        <v>349</v>
      </c>
    </row>
    <row r="44" spans="1:18" s="113" customFormat="1" ht="26.15" customHeight="1" x14ac:dyDescent="0.55000000000000004">
      <c r="A44" s="112" t="s">
        <v>451</v>
      </c>
      <c r="B44" s="118" t="s">
        <v>282</v>
      </c>
      <c r="C44" s="118" t="s">
        <v>466</v>
      </c>
      <c r="D44" s="119">
        <f t="shared" si="4"/>
        <v>0</v>
      </c>
      <c r="E44" s="119">
        <f t="shared" si="3"/>
        <v>0</v>
      </c>
      <c r="F44" s="120">
        <v>0</v>
      </c>
      <c r="G44" s="120">
        <v>0</v>
      </c>
      <c r="H44" s="120">
        <v>0</v>
      </c>
      <c r="I44" s="124">
        <v>0</v>
      </c>
      <c r="J44" s="121">
        <v>0</v>
      </c>
      <c r="K44" s="121">
        <v>0</v>
      </c>
      <c r="L44" s="121">
        <v>0</v>
      </c>
      <c r="M44" s="121">
        <v>0</v>
      </c>
      <c r="N44" s="121">
        <v>0</v>
      </c>
      <c r="O44" s="121">
        <v>0</v>
      </c>
      <c r="P44" s="121">
        <v>0</v>
      </c>
      <c r="Q44" s="121">
        <v>0</v>
      </c>
      <c r="R44" s="122" t="s">
        <v>15</v>
      </c>
    </row>
    <row r="45" spans="1:18" s="113" customFormat="1" ht="26.15" customHeight="1" x14ac:dyDescent="0.55000000000000004">
      <c r="A45" s="112" t="s">
        <v>451</v>
      </c>
      <c r="B45" s="127" t="s">
        <v>282</v>
      </c>
      <c r="C45" s="127" t="s">
        <v>467</v>
      </c>
      <c r="D45" s="119">
        <f t="shared" si="4"/>
        <v>10000000</v>
      </c>
      <c r="E45" s="119">
        <f t="shared" si="3"/>
        <v>10000000</v>
      </c>
      <c r="F45" s="120">
        <v>0</v>
      </c>
      <c r="G45" s="120">
        <v>0</v>
      </c>
      <c r="H45" s="120">
        <v>0</v>
      </c>
      <c r="I45" s="120">
        <v>0</v>
      </c>
      <c r="J45" s="121">
        <v>0</v>
      </c>
      <c r="K45" s="121">
        <v>0</v>
      </c>
      <c r="L45" s="121">
        <v>0</v>
      </c>
      <c r="M45" s="126">
        <v>2000000</v>
      </c>
      <c r="N45" s="125">
        <v>2000000</v>
      </c>
      <c r="O45" s="125">
        <v>2000000</v>
      </c>
      <c r="P45" s="125">
        <v>2000000</v>
      </c>
      <c r="Q45" s="125">
        <v>2000000</v>
      </c>
      <c r="R45" s="129" t="s">
        <v>11</v>
      </c>
    </row>
    <row r="46" spans="1:18" s="113" customFormat="1" ht="26.15" customHeight="1" x14ac:dyDescent="0.55000000000000004">
      <c r="A46" s="112" t="s">
        <v>451</v>
      </c>
      <c r="B46" s="118" t="s">
        <v>411</v>
      </c>
      <c r="C46" s="118" t="s">
        <v>468</v>
      </c>
      <c r="D46" s="119">
        <f t="shared" si="4"/>
        <v>0</v>
      </c>
      <c r="E46" s="119">
        <f t="shared" si="3"/>
        <v>0</v>
      </c>
      <c r="F46" s="120">
        <v>0</v>
      </c>
      <c r="G46" s="120">
        <v>0</v>
      </c>
      <c r="H46" s="130">
        <v>0</v>
      </c>
      <c r="I46" s="130">
        <v>0</v>
      </c>
      <c r="J46" s="131">
        <v>0</v>
      </c>
      <c r="K46" s="121">
        <v>0</v>
      </c>
      <c r="L46" s="121">
        <v>0</v>
      </c>
      <c r="M46" s="121">
        <v>0</v>
      </c>
      <c r="N46" s="121">
        <v>0</v>
      </c>
      <c r="O46" s="121">
        <v>0</v>
      </c>
      <c r="P46" s="121">
        <v>0</v>
      </c>
      <c r="Q46" s="121">
        <v>0</v>
      </c>
      <c r="R46" s="128" t="s">
        <v>15</v>
      </c>
    </row>
    <row r="47" spans="1:18" s="113" customFormat="1" ht="26.15" customHeight="1" x14ac:dyDescent="0.55000000000000004">
      <c r="A47" s="112" t="s">
        <v>451</v>
      </c>
      <c r="B47" s="118" t="s">
        <v>412</v>
      </c>
      <c r="C47" s="118" t="s">
        <v>469</v>
      </c>
      <c r="D47" s="119">
        <f t="shared" si="4"/>
        <v>0</v>
      </c>
      <c r="E47" s="119">
        <f t="shared" si="3"/>
        <v>0</v>
      </c>
      <c r="F47" s="120">
        <v>0</v>
      </c>
      <c r="G47" s="120">
        <v>0</v>
      </c>
      <c r="H47" s="120">
        <v>0</v>
      </c>
      <c r="I47" s="124">
        <v>0</v>
      </c>
      <c r="J47" s="121">
        <v>0</v>
      </c>
      <c r="K47" s="121">
        <v>0</v>
      </c>
      <c r="L47" s="125">
        <v>0</v>
      </c>
      <c r="M47" s="125">
        <v>0</v>
      </c>
      <c r="N47" s="125">
        <v>0</v>
      </c>
      <c r="O47" s="125">
        <v>0</v>
      </c>
      <c r="P47" s="125">
        <v>0</v>
      </c>
      <c r="Q47" s="125">
        <v>0</v>
      </c>
      <c r="R47" s="122" t="s">
        <v>15</v>
      </c>
    </row>
    <row r="48" spans="1:18" s="113" customFormat="1" ht="26.15" customHeight="1" x14ac:dyDescent="0.55000000000000004">
      <c r="A48" s="112" t="s">
        <v>451</v>
      </c>
      <c r="B48" s="118" t="s">
        <v>412</v>
      </c>
      <c r="C48" s="118" t="s">
        <v>470</v>
      </c>
      <c r="D48" s="119">
        <f t="shared" si="4"/>
        <v>0</v>
      </c>
      <c r="E48" s="119">
        <f t="shared" si="3"/>
        <v>0</v>
      </c>
      <c r="F48" s="120">
        <v>0</v>
      </c>
      <c r="G48" s="120">
        <v>0</v>
      </c>
      <c r="H48" s="120">
        <v>0</v>
      </c>
      <c r="I48" s="120">
        <v>0</v>
      </c>
      <c r="J48" s="121">
        <v>0</v>
      </c>
      <c r="K48" s="125">
        <v>0</v>
      </c>
      <c r="L48" s="125">
        <v>0</v>
      </c>
      <c r="M48" s="125">
        <v>0</v>
      </c>
      <c r="N48" s="125">
        <v>0</v>
      </c>
      <c r="O48" s="125">
        <v>0</v>
      </c>
      <c r="P48" s="125">
        <v>0</v>
      </c>
      <c r="Q48" s="125">
        <v>0</v>
      </c>
      <c r="R48" s="128" t="s">
        <v>15</v>
      </c>
    </row>
    <row r="49" spans="1:18" s="113" customFormat="1" ht="26.15" customHeight="1" x14ac:dyDescent="0.55000000000000004">
      <c r="A49" s="112" t="s">
        <v>451</v>
      </c>
      <c r="B49" s="127" t="s">
        <v>471</v>
      </c>
      <c r="C49" s="127" t="s">
        <v>472</v>
      </c>
      <c r="D49" s="119">
        <f t="shared" si="4"/>
        <v>10000000</v>
      </c>
      <c r="E49" s="119">
        <f t="shared" si="3"/>
        <v>10000000</v>
      </c>
      <c r="F49" s="136">
        <v>0</v>
      </c>
      <c r="G49" s="136">
        <v>0</v>
      </c>
      <c r="H49" s="136">
        <v>0</v>
      </c>
      <c r="I49" s="135">
        <v>0</v>
      </c>
      <c r="J49" s="137">
        <v>0</v>
      </c>
      <c r="K49" s="137">
        <v>0</v>
      </c>
      <c r="L49" s="139">
        <v>0</v>
      </c>
      <c r="M49" s="138">
        <v>2000000</v>
      </c>
      <c r="N49" s="139">
        <v>2000000</v>
      </c>
      <c r="O49" s="139">
        <v>2000000</v>
      </c>
      <c r="P49" s="139">
        <v>2000000</v>
      </c>
      <c r="Q49" s="139">
        <v>2000000</v>
      </c>
      <c r="R49" s="129" t="s">
        <v>349</v>
      </c>
    </row>
    <row r="50" spans="1:18" s="113" customFormat="1" ht="26.15" customHeight="1" x14ac:dyDescent="0.55000000000000004">
      <c r="A50" s="112" t="s">
        <v>451</v>
      </c>
      <c r="B50" s="118" t="s">
        <v>413</v>
      </c>
      <c r="C50" s="118" t="s">
        <v>473</v>
      </c>
      <c r="D50" s="119">
        <f t="shared" si="4"/>
        <v>0</v>
      </c>
      <c r="E50" s="119">
        <f t="shared" si="3"/>
        <v>0</v>
      </c>
      <c r="F50" s="130">
        <v>0</v>
      </c>
      <c r="G50" s="130">
        <v>0</v>
      </c>
      <c r="H50" s="130">
        <v>0</v>
      </c>
      <c r="I50" s="130">
        <v>0</v>
      </c>
      <c r="J50" s="131">
        <v>0</v>
      </c>
      <c r="K50" s="131">
        <v>0</v>
      </c>
      <c r="L50" s="131">
        <v>0</v>
      </c>
      <c r="M50" s="131">
        <v>0</v>
      </c>
      <c r="N50" s="131">
        <v>0</v>
      </c>
      <c r="O50" s="131">
        <v>0</v>
      </c>
      <c r="P50" s="131">
        <v>0</v>
      </c>
      <c r="Q50" s="131">
        <v>0</v>
      </c>
      <c r="R50" s="128" t="s">
        <v>15</v>
      </c>
    </row>
    <row r="51" spans="1:18" s="113" customFormat="1" ht="26.15" customHeight="1" x14ac:dyDescent="0.55000000000000004">
      <c r="A51" s="112" t="s">
        <v>451</v>
      </c>
      <c r="B51" s="118" t="s">
        <v>414</v>
      </c>
      <c r="C51" s="118" t="s">
        <v>474</v>
      </c>
      <c r="D51" s="119">
        <f t="shared" si="4"/>
        <v>0</v>
      </c>
      <c r="E51" s="119">
        <f t="shared" si="3"/>
        <v>0</v>
      </c>
      <c r="F51" s="120">
        <v>0</v>
      </c>
      <c r="G51" s="120">
        <v>0</v>
      </c>
      <c r="H51" s="120">
        <v>0</v>
      </c>
      <c r="I51" s="124">
        <v>0</v>
      </c>
      <c r="J51" s="121">
        <v>0</v>
      </c>
      <c r="K51" s="121">
        <v>0</v>
      </c>
      <c r="L51" s="121">
        <v>0</v>
      </c>
      <c r="M51" s="121">
        <v>0</v>
      </c>
      <c r="N51" s="121">
        <v>0</v>
      </c>
      <c r="O51" s="121">
        <v>0</v>
      </c>
      <c r="P51" s="121">
        <v>0</v>
      </c>
      <c r="Q51" s="121">
        <v>0</v>
      </c>
      <c r="R51" s="122" t="s">
        <v>15</v>
      </c>
    </row>
    <row r="52" spans="1:18" s="113" customFormat="1" ht="26.15" customHeight="1" x14ac:dyDescent="0.55000000000000004">
      <c r="A52" s="112" t="s">
        <v>451</v>
      </c>
      <c r="B52" s="118" t="s">
        <v>286</v>
      </c>
      <c r="C52" s="118" t="s">
        <v>475</v>
      </c>
      <c r="D52" s="119">
        <f t="shared" si="4"/>
        <v>6000000</v>
      </c>
      <c r="E52" s="119">
        <f t="shared" si="3"/>
        <v>6000000</v>
      </c>
      <c r="F52" s="120">
        <v>0</v>
      </c>
      <c r="G52" s="120">
        <v>0</v>
      </c>
      <c r="H52" s="120">
        <v>0</v>
      </c>
      <c r="I52" s="124">
        <v>0</v>
      </c>
      <c r="J52" s="121">
        <v>0</v>
      </c>
      <c r="K52" s="125">
        <v>0</v>
      </c>
      <c r="L52" s="126">
        <v>1000000</v>
      </c>
      <c r="M52" s="125">
        <v>1000000</v>
      </c>
      <c r="N52" s="125">
        <v>1000000</v>
      </c>
      <c r="O52" s="125">
        <v>1000000</v>
      </c>
      <c r="P52" s="125">
        <v>1000000</v>
      </c>
      <c r="Q52" s="125">
        <v>1000000</v>
      </c>
      <c r="R52" s="128" t="s">
        <v>225</v>
      </c>
    </row>
    <row r="53" spans="1:18" s="113" customFormat="1" ht="26.15" customHeight="1" x14ac:dyDescent="0.55000000000000004">
      <c r="A53" s="112" t="s">
        <v>451</v>
      </c>
      <c r="B53" s="118" t="s">
        <v>286</v>
      </c>
      <c r="C53" s="118" t="s">
        <v>476</v>
      </c>
      <c r="D53" s="119">
        <f t="shared" si="4"/>
        <v>8610049.5</v>
      </c>
      <c r="E53" s="119">
        <f t="shared" si="3"/>
        <v>0</v>
      </c>
      <c r="F53" s="135">
        <v>3799950</v>
      </c>
      <c r="G53" s="135">
        <v>1900050</v>
      </c>
      <c r="H53" s="135">
        <v>2910049.5</v>
      </c>
      <c r="I53" s="136">
        <v>0</v>
      </c>
      <c r="J53" s="137">
        <v>0</v>
      </c>
      <c r="K53" s="137">
        <v>0</v>
      </c>
      <c r="L53" s="137">
        <v>0</v>
      </c>
      <c r="M53" s="137">
        <v>0</v>
      </c>
      <c r="N53" s="137">
        <v>0</v>
      </c>
      <c r="O53" s="137">
        <v>0</v>
      </c>
      <c r="P53" s="137">
        <v>0</v>
      </c>
      <c r="Q53" s="137">
        <v>0</v>
      </c>
      <c r="R53" s="128" t="s">
        <v>175</v>
      </c>
    </row>
    <row r="54" spans="1:18" s="113" customFormat="1" ht="26.15" customHeight="1" x14ac:dyDescent="0.55000000000000004">
      <c r="A54" s="112" t="s">
        <v>451</v>
      </c>
      <c r="B54" s="118" t="s">
        <v>289</v>
      </c>
      <c r="C54" s="118" t="s">
        <v>477</v>
      </c>
      <c r="D54" s="119">
        <f t="shared" si="4"/>
        <v>12000000</v>
      </c>
      <c r="E54" s="119">
        <f t="shared" si="3"/>
        <v>12000000</v>
      </c>
      <c r="F54" s="136">
        <v>0</v>
      </c>
      <c r="G54" s="136">
        <v>0</v>
      </c>
      <c r="H54" s="136">
        <v>0</v>
      </c>
      <c r="I54" s="135">
        <v>0</v>
      </c>
      <c r="J54" s="137">
        <v>0</v>
      </c>
      <c r="K54" s="137">
        <v>0</v>
      </c>
      <c r="L54" s="138">
        <v>2000000</v>
      </c>
      <c r="M54" s="139">
        <v>2000000</v>
      </c>
      <c r="N54" s="139">
        <v>2000000</v>
      </c>
      <c r="O54" s="139">
        <v>2000000</v>
      </c>
      <c r="P54" s="139">
        <v>2000000</v>
      </c>
      <c r="Q54" s="139">
        <v>2000000</v>
      </c>
      <c r="R54" s="128" t="s">
        <v>225</v>
      </c>
    </row>
    <row r="55" spans="1:18" s="113" customFormat="1" ht="26.15" customHeight="1" x14ac:dyDescent="0.55000000000000004">
      <c r="A55" s="112" t="s">
        <v>451</v>
      </c>
      <c r="B55" s="127" t="s">
        <v>478</v>
      </c>
      <c r="C55" s="127" t="s">
        <v>479</v>
      </c>
      <c r="D55" s="119">
        <f t="shared" si="4"/>
        <v>10000000</v>
      </c>
      <c r="E55" s="119">
        <f t="shared" si="3"/>
        <v>10000000</v>
      </c>
      <c r="F55" s="136">
        <v>0</v>
      </c>
      <c r="G55" s="136">
        <v>0</v>
      </c>
      <c r="H55" s="136">
        <v>0</v>
      </c>
      <c r="I55" s="135">
        <v>0</v>
      </c>
      <c r="J55" s="137">
        <v>0</v>
      </c>
      <c r="K55" s="137">
        <v>0</v>
      </c>
      <c r="L55" s="139">
        <v>0</v>
      </c>
      <c r="M55" s="138">
        <v>2000000</v>
      </c>
      <c r="N55" s="139">
        <v>2000000</v>
      </c>
      <c r="O55" s="139">
        <v>2000000</v>
      </c>
      <c r="P55" s="139">
        <v>2000000</v>
      </c>
      <c r="Q55" s="139">
        <v>2000000</v>
      </c>
      <c r="R55" s="129" t="s">
        <v>349</v>
      </c>
    </row>
    <row r="56" spans="1:18" s="113" customFormat="1" ht="26.15" customHeight="1" x14ac:dyDescent="0.55000000000000004">
      <c r="A56" s="112" t="s">
        <v>451</v>
      </c>
      <c r="B56" s="127" t="s">
        <v>480</v>
      </c>
      <c r="C56" s="127" t="s">
        <v>481</v>
      </c>
      <c r="D56" s="119">
        <f t="shared" si="4"/>
        <v>600000</v>
      </c>
      <c r="E56" s="119">
        <f t="shared" si="3"/>
        <v>600000</v>
      </c>
      <c r="F56" s="136">
        <v>0</v>
      </c>
      <c r="G56" s="136">
        <v>0</v>
      </c>
      <c r="H56" s="136">
        <v>0</v>
      </c>
      <c r="I56" s="135">
        <v>0</v>
      </c>
      <c r="J56" s="137">
        <v>0</v>
      </c>
      <c r="K56" s="137">
        <v>0</v>
      </c>
      <c r="L56" s="138">
        <v>600000</v>
      </c>
      <c r="M56" s="139">
        <v>0</v>
      </c>
      <c r="N56" s="139">
        <v>0</v>
      </c>
      <c r="O56" s="139">
        <v>0</v>
      </c>
      <c r="P56" s="139">
        <v>0</v>
      </c>
      <c r="Q56" s="139">
        <v>0</v>
      </c>
      <c r="R56" s="128" t="s">
        <v>225</v>
      </c>
    </row>
    <row r="57" spans="1:18" s="113" customFormat="1" ht="26.15" customHeight="1" x14ac:dyDescent="0.55000000000000004">
      <c r="A57" s="112" t="s">
        <v>438</v>
      </c>
      <c r="B57" s="118"/>
      <c r="C57" s="118" t="s">
        <v>482</v>
      </c>
      <c r="D57" s="119">
        <f t="shared" si="4"/>
        <v>2000000</v>
      </c>
      <c r="E57" s="119"/>
      <c r="F57" s="120"/>
      <c r="G57" s="120"/>
      <c r="H57" s="120"/>
      <c r="I57" s="120"/>
      <c r="J57" s="121"/>
      <c r="K57" s="123">
        <v>2000000</v>
      </c>
      <c r="L57" s="121"/>
      <c r="M57" s="121"/>
      <c r="N57" s="121"/>
      <c r="O57" s="121"/>
      <c r="P57" s="121"/>
      <c r="Q57" s="121"/>
      <c r="R57" s="128" t="s">
        <v>175</v>
      </c>
    </row>
  </sheetData>
  <autoFilter ref="A1:R57" xr:uid="{075C5C6C-7E45-4462-A212-6A936EA60F25}"/>
  <sortState xmlns:xlrd2="http://schemas.microsoft.com/office/spreadsheetml/2017/richdata2" ref="A2:R57">
    <sortCondition ref="A2:A57"/>
    <sortCondition ref="B2:B57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F7EC-14F1-414E-8C30-C75B02A456D7}">
  <dimension ref="B2:H37"/>
  <sheetViews>
    <sheetView zoomScale="85" zoomScaleNormal="85" workbookViewId="0">
      <selection activeCell="D18" sqref="D18"/>
    </sheetView>
  </sheetViews>
  <sheetFormatPr defaultRowHeight="18" x14ac:dyDescent="0.55000000000000004"/>
  <cols>
    <col min="2" max="2" width="20.58203125" customWidth="1"/>
    <col min="3" max="3" width="25" customWidth="1"/>
    <col min="4" max="4" width="31.25" customWidth="1"/>
    <col min="5" max="5" width="35.25" customWidth="1"/>
    <col min="7" max="8" width="35.25" customWidth="1"/>
  </cols>
  <sheetData>
    <row r="2" spans="2:8" ht="21" x14ac:dyDescent="0.55000000000000004">
      <c r="B2" s="9" t="s">
        <v>483</v>
      </c>
      <c r="C2" s="9" t="s">
        <v>484</v>
      </c>
      <c r="D2" s="1"/>
      <c r="E2" s="1"/>
      <c r="G2" s="1"/>
      <c r="H2" s="1"/>
    </row>
    <row r="3" spans="2:8" ht="21" x14ac:dyDescent="0.55000000000000004">
      <c r="B3" s="35">
        <v>1.6766451043220572</v>
      </c>
      <c r="C3" s="67" t="s">
        <v>3</v>
      </c>
      <c r="D3" s="67" t="s">
        <v>4</v>
      </c>
      <c r="E3" s="67" t="s">
        <v>5</v>
      </c>
      <c r="G3" s="67" t="s">
        <v>485</v>
      </c>
      <c r="H3" s="67" t="s">
        <v>5</v>
      </c>
    </row>
    <row r="4" spans="2:8" ht="21" x14ac:dyDescent="0.55000000000000004">
      <c r="B4" s="13"/>
      <c r="C4" s="19" t="s">
        <v>9</v>
      </c>
      <c r="D4" s="20">
        <v>33430000</v>
      </c>
      <c r="E4" s="20"/>
      <c r="G4" s="20"/>
      <c r="H4" s="20"/>
    </row>
    <row r="5" spans="2:8" ht="21" x14ac:dyDescent="0.55000000000000004">
      <c r="B5" s="34"/>
      <c r="C5" s="19" t="s">
        <v>10</v>
      </c>
      <c r="D5" s="20">
        <v>58160000</v>
      </c>
      <c r="E5" s="20"/>
      <c r="G5" s="20"/>
      <c r="H5" s="20"/>
    </row>
    <row r="6" spans="2:8" ht="21" x14ac:dyDescent="0.55000000000000004">
      <c r="B6" s="13"/>
      <c r="C6" s="19" t="s">
        <v>27</v>
      </c>
      <c r="D6" s="20">
        <v>0</v>
      </c>
      <c r="E6" s="20"/>
      <c r="G6" s="20"/>
      <c r="H6" s="20"/>
    </row>
    <row r="7" spans="2:8" ht="21" x14ac:dyDescent="0.55000000000000004">
      <c r="B7" s="13"/>
      <c r="C7" s="19" t="s">
        <v>13</v>
      </c>
      <c r="D7" s="20">
        <v>900000</v>
      </c>
      <c r="E7" s="20"/>
      <c r="G7" s="20"/>
      <c r="H7" s="20"/>
    </row>
    <row r="8" spans="2:8" ht="21" x14ac:dyDescent="0.55000000000000004">
      <c r="B8" s="13"/>
      <c r="C8" s="19" t="s">
        <v>15</v>
      </c>
      <c r="D8" s="20">
        <v>1500000</v>
      </c>
      <c r="E8" s="20"/>
      <c r="G8" s="20"/>
      <c r="H8" s="20"/>
    </row>
    <row r="9" spans="2:8" ht="21" x14ac:dyDescent="0.55000000000000004">
      <c r="B9" s="13"/>
      <c r="C9" s="23" t="s">
        <v>16</v>
      </c>
      <c r="D9" s="24">
        <v>93990000</v>
      </c>
      <c r="E9" s="24">
        <v>56058375</v>
      </c>
      <c r="G9" s="24"/>
      <c r="H9" s="24"/>
    </row>
    <row r="10" spans="2:8" ht="21" x14ac:dyDescent="0.55000000000000004">
      <c r="B10" s="13"/>
      <c r="C10" s="1"/>
      <c r="D10" s="1"/>
      <c r="E10" s="1"/>
      <c r="G10" s="1"/>
      <c r="H10" s="1"/>
    </row>
    <row r="11" spans="2:8" ht="21" x14ac:dyDescent="0.55000000000000004">
      <c r="B11" s="13"/>
      <c r="C11" s="1"/>
      <c r="D11" s="1"/>
      <c r="E11" s="1"/>
      <c r="G11" s="1"/>
      <c r="H11" s="1"/>
    </row>
    <row r="12" spans="2:8" ht="21" x14ac:dyDescent="0.55000000000000004">
      <c r="B12" s="9" t="s">
        <v>483</v>
      </c>
      <c r="C12" s="9" t="s">
        <v>486</v>
      </c>
      <c r="D12" s="1"/>
      <c r="E12" s="1"/>
      <c r="G12" s="1"/>
      <c r="H12" s="1"/>
    </row>
    <row r="13" spans="2:8" ht="21" x14ac:dyDescent="0.55000000000000004">
      <c r="B13" s="35">
        <v>0.85947540983606563</v>
      </c>
      <c r="C13" s="67" t="s">
        <v>3</v>
      </c>
      <c r="D13" s="67" t="s">
        <v>4</v>
      </c>
      <c r="E13" s="67" t="s">
        <v>5</v>
      </c>
      <c r="G13" s="67"/>
      <c r="H13" s="67"/>
    </row>
    <row r="14" spans="2:8" ht="21" x14ac:dyDescent="0.55000000000000004">
      <c r="B14" s="13"/>
      <c r="C14" s="19" t="s">
        <v>9</v>
      </c>
      <c r="D14" s="20">
        <v>68710000</v>
      </c>
      <c r="E14" s="20"/>
      <c r="G14" s="20"/>
      <c r="H14" s="20"/>
    </row>
    <row r="15" spans="2:8" ht="21" x14ac:dyDescent="0.55000000000000004">
      <c r="B15" s="13"/>
      <c r="C15" s="19" t="s">
        <v>10</v>
      </c>
      <c r="D15" s="20">
        <v>0</v>
      </c>
      <c r="E15" s="20"/>
      <c r="G15" s="20"/>
      <c r="H15" s="20"/>
    </row>
    <row r="16" spans="2:8" ht="21" x14ac:dyDescent="0.55000000000000004">
      <c r="B16" s="13"/>
      <c r="C16" s="19" t="s">
        <v>27</v>
      </c>
      <c r="D16" s="20">
        <v>52220000</v>
      </c>
      <c r="E16" s="20"/>
      <c r="G16" s="20"/>
      <c r="H16" s="20"/>
    </row>
    <row r="17" spans="2:8" ht="21" x14ac:dyDescent="0.55000000000000004">
      <c r="B17" s="13"/>
      <c r="C17" s="19" t="s">
        <v>13</v>
      </c>
      <c r="D17" s="38">
        <v>7820000</v>
      </c>
      <c r="E17" s="20"/>
      <c r="G17" s="20"/>
      <c r="H17" s="20"/>
    </row>
    <row r="18" spans="2:8" ht="21" x14ac:dyDescent="0.55000000000000004">
      <c r="B18" s="13"/>
      <c r="C18" s="19" t="s">
        <v>15</v>
      </c>
      <c r="D18" s="20">
        <v>2320000</v>
      </c>
      <c r="E18" s="20"/>
      <c r="G18" s="20"/>
      <c r="H18" s="20"/>
    </row>
    <row r="19" spans="2:8" ht="21" x14ac:dyDescent="0.55000000000000004">
      <c r="B19" s="13"/>
      <c r="C19" s="19"/>
      <c r="D19" s="20"/>
      <c r="E19" s="20"/>
      <c r="G19" s="20"/>
      <c r="H19" s="20"/>
    </row>
    <row r="20" spans="2:8" ht="21" x14ac:dyDescent="0.55000000000000004">
      <c r="B20" s="13"/>
      <c r="C20" s="23" t="s">
        <v>16</v>
      </c>
      <c r="D20" s="24">
        <v>131070000</v>
      </c>
      <c r="E20" s="24">
        <v>152500000</v>
      </c>
      <c r="G20" s="24"/>
      <c r="H20" s="24"/>
    </row>
    <row r="21" spans="2:8" ht="21" x14ac:dyDescent="0.55000000000000004">
      <c r="B21" s="13"/>
      <c r="C21" s="1"/>
      <c r="D21" s="1"/>
      <c r="E21" s="1"/>
      <c r="G21" s="1"/>
      <c r="H21" s="1"/>
    </row>
    <row r="22" spans="2:8" ht="21" x14ac:dyDescent="0.55000000000000004">
      <c r="B22" s="13"/>
      <c r="C22" s="1"/>
      <c r="D22" s="1"/>
      <c r="E22" s="1"/>
      <c r="G22" s="1"/>
      <c r="H22" s="1"/>
    </row>
    <row r="23" spans="2:8" ht="21" x14ac:dyDescent="0.55000000000000004">
      <c r="B23" s="9" t="s">
        <v>483</v>
      </c>
      <c r="C23" s="9" t="s">
        <v>487</v>
      </c>
      <c r="D23" s="1"/>
      <c r="E23" s="1"/>
      <c r="G23" s="1"/>
      <c r="H23" s="1"/>
    </row>
    <row r="24" spans="2:8" ht="21" x14ac:dyDescent="0.55000000000000004">
      <c r="B24" s="35">
        <v>0.56513905343281334</v>
      </c>
      <c r="C24" s="67" t="s">
        <v>3</v>
      </c>
      <c r="D24" s="67" t="s">
        <v>4</v>
      </c>
      <c r="E24" s="67" t="s">
        <v>5</v>
      </c>
      <c r="G24" s="67"/>
      <c r="H24" s="67"/>
    </row>
    <row r="25" spans="2:8" ht="21" x14ac:dyDescent="0.55000000000000004">
      <c r="B25" s="13"/>
      <c r="C25" s="19" t="s">
        <v>9</v>
      </c>
      <c r="D25" s="68">
        <v>38638301</v>
      </c>
      <c r="E25" s="68"/>
      <c r="G25" s="68"/>
      <c r="H25" s="68"/>
    </row>
    <row r="26" spans="2:8" ht="21" x14ac:dyDescent="0.55000000000000004">
      <c r="B26" s="13"/>
      <c r="C26" s="19" t="s">
        <v>10</v>
      </c>
      <c r="D26" s="20">
        <v>14475000</v>
      </c>
      <c r="E26" s="20"/>
      <c r="G26" s="20"/>
      <c r="H26" s="20"/>
    </row>
    <row r="27" spans="2:8" ht="21" x14ac:dyDescent="0.55000000000000004">
      <c r="B27" s="13"/>
      <c r="C27" s="19" t="s">
        <v>13</v>
      </c>
      <c r="D27" s="20">
        <v>25875000</v>
      </c>
      <c r="E27" s="20"/>
      <c r="G27" s="20"/>
      <c r="H27" s="20"/>
    </row>
    <row r="28" spans="2:8" ht="21" x14ac:dyDescent="0.55000000000000004">
      <c r="B28" s="13"/>
      <c r="C28" s="19" t="s">
        <v>15</v>
      </c>
      <c r="D28" s="20">
        <v>0</v>
      </c>
      <c r="E28" s="20"/>
      <c r="G28" s="20"/>
      <c r="H28" s="20"/>
    </row>
    <row r="29" spans="2:8" ht="21" x14ac:dyDescent="0.55000000000000004">
      <c r="B29" s="13"/>
      <c r="C29" s="23" t="s">
        <v>16</v>
      </c>
      <c r="D29" s="24">
        <v>78988301</v>
      </c>
      <c r="E29" s="24">
        <v>132690000</v>
      </c>
      <c r="G29" s="24"/>
      <c r="H29" s="24"/>
    </row>
    <row r="32" spans="2:8" ht="21" x14ac:dyDescent="0.55000000000000004">
      <c r="B32" s="9" t="s">
        <v>483</v>
      </c>
      <c r="C32" s="67" t="s">
        <v>3</v>
      </c>
      <c r="D32" s="67" t="s">
        <v>4</v>
      </c>
      <c r="E32" s="67" t="s">
        <v>5</v>
      </c>
      <c r="G32" s="67"/>
      <c r="H32" s="67"/>
    </row>
    <row r="33" spans="2:8" ht="21" x14ac:dyDescent="0.55000000000000004">
      <c r="B33" s="35">
        <f>D37/E37</f>
        <v>0.87979408253592417</v>
      </c>
      <c r="C33" s="19" t="s">
        <v>9</v>
      </c>
      <c r="D33" s="68">
        <f>D4+D14+D25</f>
        <v>140778301</v>
      </c>
      <c r="E33" s="68">
        <f>E4+E14+E25</f>
        <v>0</v>
      </c>
      <c r="G33" s="68"/>
      <c r="H33" s="68"/>
    </row>
    <row r="34" spans="2:8" ht="22.5" x14ac:dyDescent="0.65">
      <c r="B34" s="69">
        <f>D37-E37</f>
        <v>-41020074</v>
      </c>
      <c r="C34" s="19" t="s">
        <v>10</v>
      </c>
      <c r="D34" s="20">
        <f>D5+D15+D26</f>
        <v>72635000</v>
      </c>
      <c r="E34" s="20">
        <f>E5+E15+E26</f>
        <v>0</v>
      </c>
      <c r="G34" s="20"/>
      <c r="H34" s="20"/>
    </row>
    <row r="35" spans="2:8" x14ac:dyDescent="0.55000000000000004">
      <c r="C35" s="19" t="s">
        <v>13</v>
      </c>
      <c r="D35" s="20">
        <f>D6+D16</f>
        <v>52220000</v>
      </c>
      <c r="E35" s="20">
        <f>E6+E16</f>
        <v>0</v>
      </c>
      <c r="G35" s="20"/>
      <c r="H35" s="20"/>
    </row>
    <row r="36" spans="2:8" x14ac:dyDescent="0.55000000000000004">
      <c r="C36" s="19" t="s">
        <v>15</v>
      </c>
      <c r="D36" s="20">
        <f>D7+D17+D27</f>
        <v>34595000</v>
      </c>
      <c r="E36" s="20">
        <f>E7+E17+E27</f>
        <v>0</v>
      </c>
      <c r="G36" s="20"/>
      <c r="H36" s="20"/>
    </row>
    <row r="37" spans="2:8" x14ac:dyDescent="0.55000000000000004">
      <c r="C37" s="23" t="s">
        <v>16</v>
      </c>
      <c r="D37" s="24">
        <f>SUM(D33:D36)</f>
        <v>300228301</v>
      </c>
      <c r="E37" s="24">
        <f>E9+E20+E29</f>
        <v>341248375</v>
      </c>
      <c r="G37" s="24"/>
      <c r="H37" s="24">
        <v>461486852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386E-7F0C-41AA-9142-E77EE2F87AA9}">
  <dimension ref="A2:E13"/>
  <sheetViews>
    <sheetView workbookViewId="0"/>
  </sheetViews>
  <sheetFormatPr defaultRowHeight="18" x14ac:dyDescent="0.55000000000000004"/>
  <cols>
    <col min="1" max="1" width="11.25" bestFit="1" customWidth="1"/>
    <col min="2" max="2" width="14.5" bestFit="1" customWidth="1"/>
    <col min="5" max="5" width="14.33203125" style="238" customWidth="1"/>
  </cols>
  <sheetData>
    <row r="2" spans="1:5" x14ac:dyDescent="0.55000000000000004">
      <c r="A2" t="s">
        <v>488</v>
      </c>
    </row>
    <row r="3" spans="1:5" x14ac:dyDescent="0.55000000000000004">
      <c r="A3" s="230" t="s">
        <v>390</v>
      </c>
      <c r="B3" t="s">
        <v>489</v>
      </c>
    </row>
    <row r="4" spans="1:5" x14ac:dyDescent="0.55000000000000004">
      <c r="A4" s="232" t="s">
        <v>490</v>
      </c>
      <c r="B4" s="233">
        <v>138000</v>
      </c>
      <c r="D4" s="239" t="s">
        <v>82</v>
      </c>
      <c r="E4" s="162">
        <f>GETPIVOTDATA("FCJ 5%",$A$3,"Account","JSOL")+GETPIVOTDATA("FCJ 5%",$A$3,"Account","TNK")</f>
        <v>30956700</v>
      </c>
    </row>
    <row r="5" spans="1:5" x14ac:dyDescent="0.55000000000000004">
      <c r="A5" s="234" t="s">
        <v>491</v>
      </c>
      <c r="B5" s="235">
        <v>771396</v>
      </c>
      <c r="D5" s="152" t="s">
        <v>492</v>
      </c>
      <c r="E5" s="162">
        <f>GETPIVOTDATA("FCJ 5%",$A$3,"Account","AAK")+GETPIVOTDATA("FCJ 5%",$A$3,"Account","DAISUE")</f>
        <v>734028.75</v>
      </c>
    </row>
    <row r="6" spans="1:5" x14ac:dyDescent="0.55000000000000004">
      <c r="A6" s="232" t="s">
        <v>493</v>
      </c>
      <c r="B6" s="233">
        <v>596028.75</v>
      </c>
      <c r="D6" s="149" t="s">
        <v>494</v>
      </c>
      <c r="E6" s="162">
        <f>GETPIVOTDATA("FCJ 5%",$A$3,"Account","DAIKIN")+GETPIVOTDATA("FCJ 5%",$A$3,"Account","DFK")+GETPIVOTDATA("FCJ 5%",$A$3,"Account","YKKAP")</f>
        <v>2759811.4000000004</v>
      </c>
    </row>
    <row r="7" spans="1:5" x14ac:dyDescent="0.55000000000000004">
      <c r="A7" s="234" t="s">
        <v>495</v>
      </c>
      <c r="B7" s="235">
        <v>1938915.4000000001</v>
      </c>
      <c r="E7" s="240">
        <f>SUM(E4:E6)</f>
        <v>34450540.149999999</v>
      </c>
    </row>
    <row r="8" spans="1:5" x14ac:dyDescent="0.55000000000000004">
      <c r="A8" s="236" t="s">
        <v>496</v>
      </c>
      <c r="B8" s="237">
        <v>771500</v>
      </c>
    </row>
    <row r="9" spans="1:5" x14ac:dyDescent="0.55000000000000004">
      <c r="A9" s="236" t="s">
        <v>497</v>
      </c>
      <c r="B9" s="237">
        <v>0</v>
      </c>
    </row>
    <row r="10" spans="1:5" x14ac:dyDescent="0.55000000000000004">
      <c r="A10" s="234" t="s">
        <v>498</v>
      </c>
      <c r="B10" s="235">
        <v>0</v>
      </c>
    </row>
    <row r="11" spans="1:5" x14ac:dyDescent="0.55000000000000004">
      <c r="A11" s="236" t="s">
        <v>499</v>
      </c>
      <c r="B11" s="237">
        <v>30185200</v>
      </c>
    </row>
    <row r="12" spans="1:5" x14ac:dyDescent="0.55000000000000004">
      <c r="A12" s="234" t="s">
        <v>500</v>
      </c>
      <c r="B12" s="235">
        <v>49500</v>
      </c>
    </row>
    <row r="13" spans="1:5" x14ac:dyDescent="0.55000000000000004">
      <c r="A13" s="231" t="s">
        <v>416</v>
      </c>
      <c r="B13">
        <v>34450540.149999999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82F7B-2B1E-4C22-9CC6-DB2405CDF8EE}">
  <dimension ref="A1:O109"/>
  <sheetViews>
    <sheetView workbookViewId="0"/>
  </sheetViews>
  <sheetFormatPr defaultRowHeight="18" x14ac:dyDescent="0.55000000000000004"/>
  <cols>
    <col min="1" max="1" width="46.83203125" customWidth="1"/>
    <col min="2" max="2" width="24.33203125" bestFit="1" customWidth="1"/>
    <col min="3" max="3" width="27.5" bestFit="1" customWidth="1"/>
    <col min="4" max="4" width="8.58203125" bestFit="1" customWidth="1"/>
    <col min="5" max="5" width="17.75" bestFit="1" customWidth="1"/>
    <col min="6" max="6" width="8.25" bestFit="1" customWidth="1"/>
    <col min="7" max="7" width="15.58203125" bestFit="1" customWidth="1"/>
    <col min="8" max="8" width="8.83203125" bestFit="1" customWidth="1"/>
    <col min="9" max="9" width="7" bestFit="1" customWidth="1"/>
    <col min="10" max="10" width="34.08203125" bestFit="1" customWidth="1"/>
    <col min="11" max="11" width="9.5" bestFit="1" customWidth="1"/>
    <col min="12" max="12" width="34.33203125" bestFit="1" customWidth="1"/>
    <col min="13" max="13" width="12.75" bestFit="1" customWidth="1"/>
    <col min="14" max="14" width="40.58203125" bestFit="1" customWidth="1"/>
    <col min="15" max="15" width="9.5" bestFit="1" customWidth="1"/>
  </cols>
  <sheetData>
    <row r="1" spans="1:15" x14ac:dyDescent="0.55000000000000004">
      <c r="A1" s="142" t="s">
        <v>501</v>
      </c>
      <c r="B1" s="142" t="s">
        <v>502</v>
      </c>
      <c r="C1" s="142" t="s">
        <v>503</v>
      </c>
      <c r="D1" s="142" t="s">
        <v>504</v>
      </c>
      <c r="E1" s="142" t="s">
        <v>505</v>
      </c>
      <c r="F1" s="142" t="s">
        <v>506</v>
      </c>
      <c r="G1" s="142" t="s">
        <v>507</v>
      </c>
      <c r="H1" s="142" t="s">
        <v>508</v>
      </c>
      <c r="I1" s="142" t="s">
        <v>509</v>
      </c>
      <c r="J1" s="142" t="s">
        <v>510</v>
      </c>
      <c r="K1" s="142" t="s">
        <v>509</v>
      </c>
      <c r="L1" s="142" t="s">
        <v>511</v>
      </c>
      <c r="M1" s="142" t="s">
        <v>509</v>
      </c>
      <c r="N1" s="142" t="s">
        <v>512</v>
      </c>
      <c r="O1" s="142" t="s">
        <v>513</v>
      </c>
    </row>
    <row r="2" spans="1:15" x14ac:dyDescent="0.55000000000000004">
      <c r="A2" s="142" t="s">
        <v>514</v>
      </c>
      <c r="B2" s="142" t="s">
        <v>515</v>
      </c>
      <c r="C2" s="142" t="s">
        <v>516</v>
      </c>
      <c r="D2" s="142" t="s">
        <v>491</v>
      </c>
      <c r="E2" s="142" t="s">
        <v>517</v>
      </c>
      <c r="F2" s="142" t="s">
        <v>518</v>
      </c>
      <c r="G2" s="142" t="s">
        <v>519</v>
      </c>
      <c r="H2" s="142"/>
      <c r="I2" s="142">
        <v>0</v>
      </c>
      <c r="J2" s="142">
        <v>2400000</v>
      </c>
      <c r="K2" s="142">
        <v>60</v>
      </c>
      <c r="L2" s="142">
        <v>2400000</v>
      </c>
      <c r="M2" s="142">
        <v>0</v>
      </c>
      <c r="N2" s="142">
        <v>2400000</v>
      </c>
      <c r="O2" s="142">
        <v>120000</v>
      </c>
    </row>
    <row r="3" spans="1:15" x14ac:dyDescent="0.55000000000000004">
      <c r="A3" s="142" t="s">
        <v>520</v>
      </c>
      <c r="B3" s="142" t="s">
        <v>521</v>
      </c>
      <c r="C3" s="142" t="s">
        <v>516</v>
      </c>
      <c r="D3" s="142" t="s">
        <v>491</v>
      </c>
      <c r="E3" s="142" t="s">
        <v>517</v>
      </c>
      <c r="F3" s="142" t="s">
        <v>518</v>
      </c>
      <c r="G3" s="142" t="s">
        <v>519</v>
      </c>
      <c r="H3" s="142"/>
      <c r="I3" s="142">
        <v>0</v>
      </c>
      <c r="J3" s="142">
        <v>2280000</v>
      </c>
      <c r="K3" s="142" t="e">
        <v>#REF!</v>
      </c>
      <c r="L3" s="142">
        <v>2280000</v>
      </c>
      <c r="M3" s="142">
        <v>67191000</v>
      </c>
      <c r="N3" s="142">
        <v>2280000</v>
      </c>
      <c r="O3" s="142">
        <v>114000</v>
      </c>
    </row>
    <row r="4" spans="1:15" x14ac:dyDescent="0.55000000000000004">
      <c r="A4" s="142" t="s">
        <v>522</v>
      </c>
      <c r="B4" s="142" t="s">
        <v>523</v>
      </c>
      <c r="C4" s="142" t="s">
        <v>516</v>
      </c>
      <c r="D4" s="142" t="s">
        <v>491</v>
      </c>
      <c r="E4" s="142" t="s">
        <v>517</v>
      </c>
      <c r="F4" s="142" t="s">
        <v>518</v>
      </c>
      <c r="G4" s="142" t="s">
        <v>519</v>
      </c>
      <c r="H4" s="142"/>
      <c r="I4" s="142">
        <v>0</v>
      </c>
      <c r="J4" s="142">
        <v>2400000</v>
      </c>
      <c r="K4" s="142">
        <v>60</v>
      </c>
      <c r="L4" s="142">
        <v>2400000</v>
      </c>
      <c r="M4" s="142">
        <v>0</v>
      </c>
      <c r="N4" s="142">
        <v>2400000</v>
      </c>
      <c r="O4" s="142">
        <v>120000</v>
      </c>
    </row>
    <row r="5" spans="1:15" x14ac:dyDescent="0.55000000000000004">
      <c r="A5" s="142" t="s">
        <v>524</v>
      </c>
      <c r="B5" s="142" t="s">
        <v>525</v>
      </c>
      <c r="C5" s="142" t="s">
        <v>526</v>
      </c>
      <c r="D5" s="142" t="s">
        <v>499</v>
      </c>
      <c r="E5" s="142" t="s">
        <v>527</v>
      </c>
      <c r="F5" s="142" t="s">
        <v>518</v>
      </c>
      <c r="G5" s="142" t="s">
        <v>528</v>
      </c>
      <c r="H5" s="142"/>
      <c r="I5" s="142">
        <v>0</v>
      </c>
      <c r="J5" s="142">
        <v>39440000</v>
      </c>
      <c r="K5" s="142" t="e">
        <v>#REF!</v>
      </c>
      <c r="L5" s="142">
        <v>39440000</v>
      </c>
      <c r="M5" s="142" t="e">
        <v>#REF!</v>
      </c>
      <c r="N5" s="142">
        <v>3120000</v>
      </c>
      <c r="O5" s="142">
        <v>156000</v>
      </c>
    </row>
    <row r="6" spans="1:15" x14ac:dyDescent="0.55000000000000004">
      <c r="A6" s="142" t="s">
        <v>529</v>
      </c>
      <c r="B6" s="142" t="s">
        <v>530</v>
      </c>
      <c r="C6" s="142" t="s">
        <v>526</v>
      </c>
      <c r="D6" s="142" t="s">
        <v>499</v>
      </c>
      <c r="E6" s="142" t="s">
        <v>527</v>
      </c>
      <c r="F6" s="142" t="s">
        <v>518</v>
      </c>
      <c r="G6" s="142" t="s">
        <v>528</v>
      </c>
      <c r="H6" s="142"/>
      <c r="I6" s="142">
        <v>0</v>
      </c>
      <c r="J6" s="142">
        <v>180299000</v>
      </c>
      <c r="K6" s="142">
        <v>5258920</v>
      </c>
      <c r="L6" s="142">
        <v>180299000</v>
      </c>
      <c r="M6" s="142">
        <v>89149920</v>
      </c>
      <c r="N6" s="142">
        <v>180299000</v>
      </c>
      <c r="O6" s="142">
        <v>9014950</v>
      </c>
    </row>
    <row r="7" spans="1:15" x14ac:dyDescent="0.55000000000000004">
      <c r="A7" s="142" t="s">
        <v>531</v>
      </c>
      <c r="B7" s="142" t="s">
        <v>532</v>
      </c>
      <c r="C7" s="142" t="s">
        <v>526</v>
      </c>
      <c r="D7" s="142" t="s">
        <v>499</v>
      </c>
      <c r="E7" s="142" t="s">
        <v>527</v>
      </c>
      <c r="F7" s="142" t="s">
        <v>518</v>
      </c>
      <c r="G7" s="142" t="s">
        <v>528</v>
      </c>
      <c r="H7" s="142"/>
      <c r="I7" s="142">
        <v>0</v>
      </c>
      <c r="J7" s="142">
        <v>574000</v>
      </c>
      <c r="K7" s="142" t="e">
        <v>#REF!</v>
      </c>
      <c r="L7" s="142">
        <v>574000</v>
      </c>
      <c r="M7" s="142">
        <v>269448920</v>
      </c>
      <c r="N7" s="142">
        <v>574000</v>
      </c>
      <c r="O7" s="142">
        <v>28700</v>
      </c>
    </row>
    <row r="8" spans="1:15" x14ac:dyDescent="0.55000000000000004">
      <c r="A8" s="142" t="s">
        <v>533</v>
      </c>
      <c r="B8" s="142" t="s">
        <v>534</v>
      </c>
      <c r="C8" s="142" t="s">
        <v>526</v>
      </c>
      <c r="D8" s="142" t="s">
        <v>499</v>
      </c>
      <c r="E8" s="142" t="s">
        <v>527</v>
      </c>
      <c r="F8" s="142" t="s">
        <v>518</v>
      </c>
      <c r="G8" s="142" t="s">
        <v>528</v>
      </c>
      <c r="H8" s="142"/>
      <c r="I8" s="142">
        <v>0</v>
      </c>
      <c r="J8" s="142">
        <v>6392000</v>
      </c>
      <c r="K8" s="142">
        <v>60</v>
      </c>
      <c r="L8" s="142">
        <v>6392000</v>
      </c>
      <c r="M8" s="142">
        <v>0</v>
      </c>
      <c r="N8" s="142">
        <v>6392000</v>
      </c>
      <c r="O8" s="142">
        <v>319600</v>
      </c>
    </row>
    <row r="9" spans="1:15" x14ac:dyDescent="0.55000000000000004">
      <c r="A9" s="142" t="s">
        <v>535</v>
      </c>
      <c r="B9" s="142" t="s">
        <v>536</v>
      </c>
      <c r="C9" s="142" t="s">
        <v>537</v>
      </c>
      <c r="D9" s="142" t="s">
        <v>499</v>
      </c>
      <c r="E9" s="142" t="s">
        <v>527</v>
      </c>
      <c r="F9" s="142" t="s">
        <v>518</v>
      </c>
      <c r="G9" s="142" t="s">
        <v>528</v>
      </c>
      <c r="H9" s="142"/>
      <c r="I9" s="142">
        <v>0</v>
      </c>
      <c r="J9" s="142">
        <v>476154000</v>
      </c>
      <c r="K9" s="142" t="e">
        <v>#REF!</v>
      </c>
      <c r="L9" s="142">
        <v>476154000</v>
      </c>
      <c r="M9" s="142">
        <v>209223920</v>
      </c>
      <c r="N9" s="142">
        <v>412479000</v>
      </c>
      <c r="O9" s="142">
        <v>20623950</v>
      </c>
    </row>
    <row r="10" spans="1:15" x14ac:dyDescent="0.55000000000000004">
      <c r="A10" s="142" t="s">
        <v>538</v>
      </c>
      <c r="B10" s="142" t="s">
        <v>539</v>
      </c>
      <c r="C10" s="142" t="s">
        <v>537</v>
      </c>
      <c r="D10" s="142" t="s">
        <v>499</v>
      </c>
      <c r="E10" s="142" t="s">
        <v>527</v>
      </c>
      <c r="F10" s="142" t="s">
        <v>518</v>
      </c>
      <c r="G10" s="142" t="s">
        <v>528</v>
      </c>
      <c r="H10" s="142"/>
      <c r="I10" s="142">
        <v>0</v>
      </c>
      <c r="J10" s="142">
        <v>840000</v>
      </c>
      <c r="K10" s="142" t="e">
        <v>#REF!</v>
      </c>
      <c r="L10" s="142">
        <v>840000</v>
      </c>
      <c r="M10" s="142" t="e">
        <v>#REF!</v>
      </c>
      <c r="N10" s="142">
        <v>840000</v>
      </c>
      <c r="O10" s="142">
        <v>42000</v>
      </c>
    </row>
    <row r="11" spans="1:15" x14ac:dyDescent="0.55000000000000004">
      <c r="A11" s="142" t="s">
        <v>540</v>
      </c>
      <c r="B11" s="142" t="s">
        <v>541</v>
      </c>
      <c r="C11" s="142" t="s">
        <v>526</v>
      </c>
      <c r="D11" s="142" t="s">
        <v>499</v>
      </c>
      <c r="E11" s="142" t="s">
        <v>527</v>
      </c>
      <c r="F11" s="142" t="s">
        <v>518</v>
      </c>
      <c r="G11" s="142" t="s">
        <v>528</v>
      </c>
      <c r="H11" s="142"/>
      <c r="I11" s="142">
        <v>0</v>
      </c>
      <c r="J11" s="142">
        <v>24000000</v>
      </c>
      <c r="K11" s="142">
        <v>60</v>
      </c>
      <c r="L11" s="142">
        <v>24000000</v>
      </c>
      <c r="M11" s="142">
        <v>0</v>
      </c>
      <c r="N11" s="142">
        <v>0</v>
      </c>
      <c r="O11" s="142">
        <v>0</v>
      </c>
    </row>
    <row r="12" spans="1:15" x14ac:dyDescent="0.55000000000000004">
      <c r="A12" s="142" t="s">
        <v>542</v>
      </c>
      <c r="B12" s="142" t="s">
        <v>543</v>
      </c>
      <c r="C12" s="142" t="s">
        <v>544</v>
      </c>
      <c r="D12" s="142" t="s">
        <v>497</v>
      </c>
      <c r="E12" s="142" t="s">
        <v>545</v>
      </c>
      <c r="F12" s="142" t="s">
        <v>518</v>
      </c>
      <c r="G12" s="142" t="s">
        <v>546</v>
      </c>
      <c r="H12" s="142"/>
      <c r="I12" s="142">
        <v>0</v>
      </c>
      <c r="J12" s="142">
        <v>3984375</v>
      </c>
      <c r="K12" s="142">
        <v>60</v>
      </c>
      <c r="L12" s="142">
        <v>3984375</v>
      </c>
      <c r="M12" s="142">
        <v>0</v>
      </c>
      <c r="N12" s="142">
        <v>0</v>
      </c>
      <c r="O12" s="142">
        <v>0</v>
      </c>
    </row>
    <row r="13" spans="1:15" x14ac:dyDescent="0.55000000000000004">
      <c r="A13" s="142" t="s">
        <v>547</v>
      </c>
      <c r="B13" s="142" t="s">
        <v>548</v>
      </c>
      <c r="C13" s="142" t="s">
        <v>549</v>
      </c>
      <c r="D13" s="142" t="s">
        <v>496</v>
      </c>
      <c r="E13" s="142" t="s">
        <v>545</v>
      </c>
      <c r="F13" s="142" t="s">
        <v>518</v>
      </c>
      <c r="G13" s="142"/>
      <c r="H13" s="142"/>
      <c r="I13" s="142">
        <v>0</v>
      </c>
      <c r="J13" s="142">
        <v>11730000</v>
      </c>
      <c r="K13" s="142" t="e">
        <v>#REF!</v>
      </c>
      <c r="L13" s="142">
        <v>11730000</v>
      </c>
      <c r="M13" s="142" t="e">
        <v>#REF!</v>
      </c>
      <c r="N13" s="142">
        <v>11730000</v>
      </c>
      <c r="O13" s="142">
        <v>586500</v>
      </c>
    </row>
    <row r="14" spans="1:15" x14ac:dyDescent="0.55000000000000004">
      <c r="A14" s="142" t="s">
        <v>550</v>
      </c>
      <c r="B14" s="142" t="s">
        <v>551</v>
      </c>
      <c r="C14" s="142" t="s">
        <v>552</v>
      </c>
      <c r="D14" s="142" t="s">
        <v>498</v>
      </c>
      <c r="E14" s="142" t="s">
        <v>545</v>
      </c>
      <c r="F14" s="142" t="s">
        <v>518</v>
      </c>
      <c r="G14" s="142"/>
      <c r="H14" s="142"/>
      <c r="I14" s="142">
        <v>0</v>
      </c>
      <c r="J14" s="142">
        <v>5000000</v>
      </c>
      <c r="K14" s="142" t="e">
        <v>#REF!</v>
      </c>
      <c r="L14" s="142">
        <v>5000000</v>
      </c>
      <c r="M14" s="142">
        <v>11730000</v>
      </c>
      <c r="N14" s="142">
        <v>0</v>
      </c>
      <c r="O14" s="142">
        <v>0</v>
      </c>
    </row>
    <row r="15" spans="1:15" x14ac:dyDescent="0.55000000000000004">
      <c r="A15" s="142" t="s">
        <v>553</v>
      </c>
      <c r="B15" s="142" t="s">
        <v>554</v>
      </c>
      <c r="C15" s="142" t="s">
        <v>555</v>
      </c>
      <c r="D15" s="142" t="s">
        <v>495</v>
      </c>
      <c r="E15" s="142" t="s">
        <v>545</v>
      </c>
      <c r="F15" s="142" t="s">
        <v>518</v>
      </c>
      <c r="G15" s="142"/>
      <c r="H15" s="142"/>
      <c r="I15" s="142">
        <v>0</v>
      </c>
      <c r="J15" s="142">
        <v>51394</v>
      </c>
      <c r="K15" s="142">
        <v>3000000</v>
      </c>
      <c r="L15" s="142">
        <v>51394</v>
      </c>
      <c r="M15" s="142">
        <v>24322500</v>
      </c>
      <c r="N15" s="142">
        <v>51394</v>
      </c>
      <c r="O15" s="142">
        <v>2569.7000000000003</v>
      </c>
    </row>
    <row r="16" spans="1:15" x14ac:dyDescent="0.55000000000000004">
      <c r="A16" s="142" t="s">
        <v>556</v>
      </c>
      <c r="B16" s="142" t="s">
        <v>557</v>
      </c>
      <c r="C16" s="142" t="s">
        <v>558</v>
      </c>
      <c r="D16" s="142" t="s">
        <v>495</v>
      </c>
      <c r="E16" s="142" t="s">
        <v>545</v>
      </c>
      <c r="F16" s="142" t="s">
        <v>518</v>
      </c>
      <c r="G16" s="142"/>
      <c r="H16" s="142"/>
      <c r="I16" s="142">
        <v>0</v>
      </c>
      <c r="J16" s="142">
        <v>176690</v>
      </c>
      <c r="K16" s="142" t="e">
        <v>#REF!</v>
      </c>
      <c r="L16" s="142">
        <v>176690</v>
      </c>
      <c r="M16" s="142">
        <v>18431394</v>
      </c>
      <c r="N16" s="142">
        <v>176690</v>
      </c>
      <c r="O16" s="142">
        <v>8834.5</v>
      </c>
    </row>
    <row r="17" spans="1:15" x14ac:dyDescent="0.55000000000000004">
      <c r="A17" s="142" t="s">
        <v>559</v>
      </c>
      <c r="B17" s="142" t="s">
        <v>560</v>
      </c>
      <c r="C17" s="142" t="s">
        <v>561</v>
      </c>
      <c r="D17" s="142" t="s">
        <v>495</v>
      </c>
      <c r="E17" s="142" t="s">
        <v>545</v>
      </c>
      <c r="F17" s="142" t="s">
        <v>518</v>
      </c>
      <c r="G17" s="142"/>
      <c r="H17" s="142"/>
      <c r="I17" s="142">
        <v>0</v>
      </c>
      <c r="J17" s="142">
        <v>32154</v>
      </c>
      <c r="K17" s="142" t="e">
        <v>#REF!</v>
      </c>
      <c r="L17" s="142">
        <v>32154</v>
      </c>
      <c r="M17" s="142">
        <v>283033984</v>
      </c>
      <c r="N17" s="142">
        <v>32154</v>
      </c>
      <c r="O17" s="142">
        <v>1607.7</v>
      </c>
    </row>
    <row r="18" spans="1:15" x14ac:dyDescent="0.55000000000000004">
      <c r="A18" s="142" t="s">
        <v>562</v>
      </c>
      <c r="B18" s="142" t="s">
        <v>563</v>
      </c>
      <c r="C18" s="142" t="s">
        <v>555</v>
      </c>
      <c r="D18" s="142" t="s">
        <v>495</v>
      </c>
      <c r="E18" s="142" t="s">
        <v>545</v>
      </c>
      <c r="F18" s="142" t="s">
        <v>518</v>
      </c>
      <c r="G18" s="142"/>
      <c r="H18" s="142"/>
      <c r="I18" s="142">
        <v>0</v>
      </c>
      <c r="J18" s="142">
        <v>505188</v>
      </c>
      <c r="K18" s="142" t="e">
        <v>#REF!</v>
      </c>
      <c r="L18" s="142">
        <v>505188</v>
      </c>
      <c r="M18" s="142">
        <v>17640238</v>
      </c>
      <c r="N18" s="142">
        <v>505188</v>
      </c>
      <c r="O18" s="142">
        <v>25259.4</v>
      </c>
    </row>
    <row r="19" spans="1:15" x14ac:dyDescent="0.55000000000000004">
      <c r="A19" s="142" t="s">
        <v>564</v>
      </c>
      <c r="B19" s="142" t="s">
        <v>565</v>
      </c>
      <c r="C19" s="142" t="s">
        <v>555</v>
      </c>
      <c r="D19" s="142" t="s">
        <v>495</v>
      </c>
      <c r="E19" s="142" t="s">
        <v>545</v>
      </c>
      <c r="F19" s="142" t="s">
        <v>518</v>
      </c>
      <c r="G19" s="142"/>
      <c r="H19" s="142"/>
      <c r="I19" s="142">
        <v>0</v>
      </c>
      <c r="J19" s="142">
        <v>674688</v>
      </c>
      <c r="K19" s="142" t="e">
        <v>#REF!</v>
      </c>
      <c r="L19" s="142">
        <v>674688</v>
      </c>
      <c r="M19" s="142" t="e">
        <v>#REF!</v>
      </c>
      <c r="N19" s="142">
        <v>674688</v>
      </c>
      <c r="O19" s="142">
        <v>33734.400000000001</v>
      </c>
    </row>
    <row r="20" spans="1:15" x14ac:dyDescent="0.55000000000000004">
      <c r="A20" s="142" t="s">
        <v>566</v>
      </c>
      <c r="B20" s="142" t="s">
        <v>567</v>
      </c>
      <c r="C20" s="142" t="s">
        <v>558</v>
      </c>
      <c r="D20" s="142" t="s">
        <v>495</v>
      </c>
      <c r="E20" s="142" t="s">
        <v>545</v>
      </c>
      <c r="F20" s="142" t="s">
        <v>518</v>
      </c>
      <c r="G20" s="142"/>
      <c r="H20" s="142"/>
      <c r="I20" s="142">
        <v>0</v>
      </c>
      <c r="J20" s="142">
        <v>233451</v>
      </c>
      <c r="K20" s="142">
        <v>10500000</v>
      </c>
      <c r="L20" s="142">
        <v>233451</v>
      </c>
      <c r="M20" s="142">
        <v>31297614</v>
      </c>
      <c r="N20" s="142">
        <v>233451</v>
      </c>
      <c r="O20" s="142">
        <v>11672.550000000001</v>
      </c>
    </row>
    <row r="21" spans="1:15" x14ac:dyDescent="0.55000000000000004">
      <c r="A21" s="142" t="s">
        <v>568</v>
      </c>
      <c r="B21" s="142" t="s">
        <v>569</v>
      </c>
      <c r="C21" s="142" t="s">
        <v>549</v>
      </c>
      <c r="D21" s="142" t="s">
        <v>496</v>
      </c>
      <c r="E21" s="142" t="s">
        <v>545</v>
      </c>
      <c r="F21" s="142" t="s">
        <v>518</v>
      </c>
      <c r="G21" s="142"/>
      <c r="H21" s="142"/>
      <c r="I21" s="142">
        <v>0</v>
      </c>
      <c r="J21" s="142">
        <v>3668000</v>
      </c>
      <c r="K21" s="142">
        <v>233451</v>
      </c>
      <c r="L21" s="142">
        <v>3668000</v>
      </c>
      <c r="M21" s="142">
        <v>109087805</v>
      </c>
      <c r="N21" s="142">
        <v>3668000</v>
      </c>
      <c r="O21" s="142">
        <v>183400</v>
      </c>
    </row>
    <row r="22" spans="1:15" x14ac:dyDescent="0.55000000000000004">
      <c r="A22" s="142" t="s">
        <v>570</v>
      </c>
      <c r="B22" s="142" t="s">
        <v>571</v>
      </c>
      <c r="C22" s="142" t="s">
        <v>549</v>
      </c>
      <c r="D22" s="142" t="s">
        <v>496</v>
      </c>
      <c r="E22" s="142" t="s">
        <v>545</v>
      </c>
      <c r="F22" s="142" t="s">
        <v>518</v>
      </c>
      <c r="G22" s="142"/>
      <c r="H22" s="142"/>
      <c r="I22" s="142">
        <v>0</v>
      </c>
      <c r="J22" s="142">
        <v>32000</v>
      </c>
      <c r="K22" s="142" t="e">
        <v>#REF!</v>
      </c>
      <c r="L22" s="142">
        <v>32000</v>
      </c>
      <c r="M22" s="142">
        <v>5113481</v>
      </c>
      <c r="N22" s="142">
        <v>32000</v>
      </c>
      <c r="O22" s="142">
        <v>1600</v>
      </c>
    </row>
    <row r="23" spans="1:15" x14ac:dyDescent="0.55000000000000004">
      <c r="A23" s="142" t="s">
        <v>572</v>
      </c>
      <c r="B23" s="142" t="s">
        <v>573</v>
      </c>
      <c r="C23" s="142" t="s">
        <v>558</v>
      </c>
      <c r="D23" s="142" t="s">
        <v>495</v>
      </c>
      <c r="E23" s="142" t="s">
        <v>545</v>
      </c>
      <c r="F23" s="142" t="s">
        <v>518</v>
      </c>
      <c r="G23" s="142"/>
      <c r="H23" s="142"/>
      <c r="I23" s="142">
        <v>0</v>
      </c>
      <c r="J23" s="142">
        <v>241856</v>
      </c>
      <c r="K23" s="142" t="e">
        <v>#REF!</v>
      </c>
      <c r="L23" s="142">
        <v>241856</v>
      </c>
      <c r="M23" s="142">
        <v>320473325</v>
      </c>
      <c r="N23" s="142">
        <v>241856</v>
      </c>
      <c r="O23" s="142">
        <v>12092.800000000001</v>
      </c>
    </row>
    <row r="24" spans="1:15" x14ac:dyDescent="0.55000000000000004">
      <c r="A24" s="142" t="s">
        <v>574</v>
      </c>
      <c r="B24" s="142" t="s">
        <v>575</v>
      </c>
      <c r="C24" s="142" t="s">
        <v>555</v>
      </c>
      <c r="D24" s="142" t="s">
        <v>495</v>
      </c>
      <c r="E24" s="142" t="s">
        <v>545</v>
      </c>
      <c r="F24" s="142" t="s">
        <v>518</v>
      </c>
      <c r="G24" s="142"/>
      <c r="H24" s="142"/>
      <c r="I24" s="142">
        <v>0</v>
      </c>
      <c r="J24" s="142">
        <v>994984</v>
      </c>
      <c r="K24" s="142">
        <v>60</v>
      </c>
      <c r="L24" s="142">
        <v>994984</v>
      </c>
      <c r="M24" s="142">
        <v>0</v>
      </c>
      <c r="N24" s="142">
        <v>994984</v>
      </c>
      <c r="O24" s="142">
        <v>49749.200000000004</v>
      </c>
    </row>
    <row r="25" spans="1:15" x14ac:dyDescent="0.55000000000000004">
      <c r="A25" s="142" t="s">
        <v>576</v>
      </c>
      <c r="B25" s="142" t="s">
        <v>577</v>
      </c>
      <c r="C25" s="142" t="s">
        <v>558</v>
      </c>
      <c r="D25" s="142" t="s">
        <v>495</v>
      </c>
      <c r="E25" s="142" t="s">
        <v>545</v>
      </c>
      <c r="F25" s="142" t="s">
        <v>518</v>
      </c>
      <c r="G25" s="142"/>
      <c r="H25" s="142"/>
      <c r="I25" s="142">
        <v>0</v>
      </c>
      <c r="J25" s="142">
        <v>401021</v>
      </c>
      <c r="K25" s="142" t="e">
        <v>#REF!</v>
      </c>
      <c r="L25" s="142">
        <v>401021</v>
      </c>
      <c r="M25" s="142">
        <v>994984</v>
      </c>
      <c r="N25" s="142">
        <v>401021</v>
      </c>
      <c r="O25" s="142">
        <v>20051.050000000003</v>
      </c>
    </row>
    <row r="26" spans="1:15" x14ac:dyDescent="0.55000000000000004">
      <c r="A26" s="142" t="s">
        <v>578</v>
      </c>
      <c r="B26" s="142" t="s">
        <v>579</v>
      </c>
      <c r="C26" s="142" t="s">
        <v>580</v>
      </c>
      <c r="D26" s="142" t="s">
        <v>490</v>
      </c>
      <c r="E26" s="142" t="s">
        <v>545</v>
      </c>
      <c r="F26" s="142" t="s">
        <v>518</v>
      </c>
      <c r="G26" s="142"/>
      <c r="H26" s="142"/>
      <c r="I26" s="142">
        <v>0</v>
      </c>
      <c r="J26" s="142">
        <v>6000000</v>
      </c>
      <c r="K26" s="142" t="e">
        <v>#REF!</v>
      </c>
      <c r="L26" s="142">
        <v>6000000</v>
      </c>
      <c r="M26" s="142">
        <v>1396005</v>
      </c>
      <c r="N26" s="142">
        <v>0</v>
      </c>
      <c r="O26" s="142">
        <v>0</v>
      </c>
    </row>
    <row r="27" spans="1:15" x14ac:dyDescent="0.55000000000000004">
      <c r="A27" s="142" t="s">
        <v>581</v>
      </c>
      <c r="B27" s="142" t="s">
        <v>582</v>
      </c>
      <c r="C27" s="142" t="s">
        <v>583</v>
      </c>
      <c r="D27" s="142" t="s">
        <v>496</v>
      </c>
      <c r="E27" s="142" t="s">
        <v>545</v>
      </c>
      <c r="F27" s="142" t="s">
        <v>518</v>
      </c>
      <c r="G27" s="142"/>
      <c r="H27" s="142"/>
      <c r="I27" s="142">
        <v>0</v>
      </c>
      <c r="J27" s="142">
        <v>28380</v>
      </c>
      <c r="K27" s="142" t="e">
        <v>#REF!</v>
      </c>
      <c r="L27" s="142">
        <v>28380</v>
      </c>
      <c r="M27" s="142">
        <v>401021</v>
      </c>
      <c r="N27" s="142">
        <v>0</v>
      </c>
      <c r="O27" s="142">
        <v>0</v>
      </c>
    </row>
    <row r="28" spans="1:15" x14ac:dyDescent="0.55000000000000004">
      <c r="A28" s="142" t="s">
        <v>584</v>
      </c>
      <c r="B28" s="142" t="s">
        <v>585</v>
      </c>
      <c r="C28" s="142" t="s">
        <v>586</v>
      </c>
      <c r="D28" s="142" t="s">
        <v>496</v>
      </c>
      <c r="E28" s="142" t="s">
        <v>545</v>
      </c>
      <c r="F28" s="142" t="s">
        <v>518</v>
      </c>
      <c r="G28" s="142"/>
      <c r="H28" s="142"/>
      <c r="I28" s="142">
        <v>0</v>
      </c>
      <c r="J28" s="142">
        <v>4800000</v>
      </c>
      <c r="K28" s="142">
        <v>48000000</v>
      </c>
      <c r="L28" s="142">
        <v>4800000</v>
      </c>
      <c r="M28" s="142">
        <v>0</v>
      </c>
      <c r="N28" s="142">
        <v>0</v>
      </c>
      <c r="O28" s="142">
        <v>0</v>
      </c>
    </row>
    <row r="29" spans="1:15" x14ac:dyDescent="0.55000000000000004">
      <c r="A29" s="142" t="s">
        <v>587</v>
      </c>
      <c r="B29" s="142" t="s">
        <v>588</v>
      </c>
      <c r="C29" s="142" t="s">
        <v>589</v>
      </c>
      <c r="D29" s="142" t="s">
        <v>496</v>
      </c>
      <c r="E29" s="142" t="s">
        <v>545</v>
      </c>
      <c r="F29" s="142" t="s">
        <v>518</v>
      </c>
      <c r="G29" s="142"/>
      <c r="H29" s="142"/>
      <c r="I29" s="142">
        <v>0</v>
      </c>
      <c r="J29" s="142">
        <v>3360000</v>
      </c>
      <c r="K29" s="142" t="e">
        <v>#REF!</v>
      </c>
      <c r="L29" s="142">
        <v>3360000</v>
      </c>
      <c r="M29" s="142">
        <v>0</v>
      </c>
      <c r="N29" s="142">
        <v>0</v>
      </c>
      <c r="O29" s="142">
        <v>0</v>
      </c>
    </row>
    <row r="30" spans="1:15" x14ac:dyDescent="0.55000000000000004">
      <c r="A30" s="142" t="s">
        <v>590</v>
      </c>
      <c r="B30" s="142" t="s">
        <v>591</v>
      </c>
      <c r="C30" s="142" t="s">
        <v>589</v>
      </c>
      <c r="D30" s="142" t="s">
        <v>496</v>
      </c>
      <c r="E30" s="142" t="s">
        <v>545</v>
      </c>
      <c r="F30" s="142" t="s">
        <v>518</v>
      </c>
      <c r="G30" s="142"/>
      <c r="H30" s="142"/>
      <c r="I30" s="142">
        <v>0</v>
      </c>
      <c r="J30" s="142">
        <v>8400000</v>
      </c>
      <c r="K30" s="142" t="e">
        <v>#REF!</v>
      </c>
      <c r="L30" s="142">
        <v>8400000</v>
      </c>
      <c r="M30" s="142">
        <v>1396005</v>
      </c>
      <c r="N30" s="142">
        <v>0</v>
      </c>
      <c r="O30" s="142">
        <v>0</v>
      </c>
    </row>
    <row r="31" spans="1:15" x14ac:dyDescent="0.55000000000000004">
      <c r="A31" s="142" t="s">
        <v>592</v>
      </c>
      <c r="B31" s="142" t="s">
        <v>593</v>
      </c>
      <c r="C31" s="142" t="s">
        <v>583</v>
      </c>
      <c r="D31" s="142" t="s">
        <v>496</v>
      </c>
      <c r="E31" s="142" t="s">
        <v>545</v>
      </c>
      <c r="F31" s="142" t="s">
        <v>518</v>
      </c>
      <c r="G31" s="142"/>
      <c r="H31" s="142"/>
      <c r="I31" s="142">
        <v>0</v>
      </c>
      <c r="J31" s="142">
        <v>51181</v>
      </c>
      <c r="K31" s="142" t="e">
        <v>#REF!</v>
      </c>
      <c r="L31" s="142">
        <v>51181</v>
      </c>
      <c r="M31" s="142">
        <v>0</v>
      </c>
      <c r="N31" s="142">
        <v>0</v>
      </c>
      <c r="O31" s="142">
        <v>0</v>
      </c>
    </row>
    <row r="32" spans="1:15" x14ac:dyDescent="0.55000000000000004">
      <c r="A32" s="142" t="s">
        <v>594</v>
      </c>
      <c r="B32" s="142" t="s">
        <v>595</v>
      </c>
      <c r="C32" s="142" t="s">
        <v>596</v>
      </c>
      <c r="D32" s="142" t="s">
        <v>493</v>
      </c>
      <c r="E32" s="142" t="s">
        <v>527</v>
      </c>
      <c r="F32" s="142" t="s">
        <v>518</v>
      </c>
      <c r="G32" s="142" t="s">
        <v>597</v>
      </c>
      <c r="H32" s="142"/>
      <c r="I32" s="142">
        <v>0</v>
      </c>
      <c r="J32" s="142">
        <v>248250</v>
      </c>
      <c r="K32" s="142">
        <v>24440000</v>
      </c>
      <c r="L32" s="142">
        <v>248250</v>
      </c>
      <c r="M32" s="142">
        <v>251186293</v>
      </c>
      <c r="N32" s="142">
        <v>248250</v>
      </c>
      <c r="O32" s="142">
        <v>12412.5</v>
      </c>
    </row>
    <row r="33" spans="1:15" x14ac:dyDescent="0.55000000000000004">
      <c r="A33" s="142" t="s">
        <v>598</v>
      </c>
      <c r="B33" s="142" t="s">
        <v>599</v>
      </c>
      <c r="C33" s="142" t="s">
        <v>600</v>
      </c>
      <c r="D33" s="142" t="s">
        <v>500</v>
      </c>
      <c r="E33" s="142" t="s">
        <v>545</v>
      </c>
      <c r="F33" s="142" t="s">
        <v>518</v>
      </c>
      <c r="G33" s="142"/>
      <c r="H33" s="142"/>
      <c r="I33" s="142">
        <v>0</v>
      </c>
      <c r="J33" s="142">
        <v>9600000</v>
      </c>
      <c r="K33" s="142" t="e">
        <v>#REF!</v>
      </c>
      <c r="L33" s="142">
        <v>9600000</v>
      </c>
      <c r="M33" s="142">
        <v>8515480</v>
      </c>
      <c r="N33" s="142">
        <v>990000</v>
      </c>
      <c r="O33" s="142">
        <v>49500</v>
      </c>
    </row>
    <row r="34" spans="1:15" x14ac:dyDescent="0.55000000000000004">
      <c r="A34" s="142" t="s">
        <v>601</v>
      </c>
      <c r="B34" s="142" t="s">
        <v>602</v>
      </c>
      <c r="C34" s="142" t="s">
        <v>558</v>
      </c>
      <c r="D34" s="142" t="s">
        <v>495</v>
      </c>
      <c r="E34" s="142" t="s">
        <v>545</v>
      </c>
      <c r="F34" s="142" t="s">
        <v>518</v>
      </c>
      <c r="G34" s="142"/>
      <c r="H34" s="142"/>
      <c r="I34" s="142">
        <v>0</v>
      </c>
      <c r="J34" s="142">
        <v>11398</v>
      </c>
      <c r="K34" s="142">
        <v>9000000</v>
      </c>
      <c r="L34" s="142">
        <v>11398</v>
      </c>
      <c r="M34" s="142">
        <v>19948014</v>
      </c>
      <c r="N34" s="142">
        <v>9705</v>
      </c>
      <c r="O34" s="142">
        <v>485.25</v>
      </c>
    </row>
    <row r="35" spans="1:15" x14ac:dyDescent="0.55000000000000004">
      <c r="A35" s="142" t="s">
        <v>603</v>
      </c>
      <c r="B35" s="142" t="s">
        <v>604</v>
      </c>
      <c r="C35" s="142" t="s">
        <v>558</v>
      </c>
      <c r="D35" s="142" t="s">
        <v>495</v>
      </c>
      <c r="E35" s="142" t="s">
        <v>545</v>
      </c>
      <c r="F35" s="142" t="s">
        <v>518</v>
      </c>
      <c r="G35" s="142"/>
      <c r="H35" s="142"/>
      <c r="I35" s="142">
        <v>0</v>
      </c>
      <c r="J35" s="142">
        <v>33984</v>
      </c>
      <c r="K35" s="142">
        <v>60</v>
      </c>
      <c r="L35" s="142">
        <v>33984</v>
      </c>
      <c r="M35" s="142">
        <v>0</v>
      </c>
      <c r="N35" s="142">
        <v>33984</v>
      </c>
      <c r="O35" s="142">
        <v>1699.2</v>
      </c>
    </row>
    <row r="36" spans="1:15" x14ac:dyDescent="0.55000000000000004">
      <c r="A36" s="142" t="s">
        <v>605</v>
      </c>
      <c r="B36" s="142" t="s">
        <v>606</v>
      </c>
      <c r="C36" s="142" t="s">
        <v>558</v>
      </c>
      <c r="D36" s="142" t="s">
        <v>495</v>
      </c>
      <c r="E36" s="142" t="s">
        <v>545</v>
      </c>
      <c r="F36" s="142" t="s">
        <v>518</v>
      </c>
      <c r="G36" s="142"/>
      <c r="H36" s="142"/>
      <c r="I36" s="142">
        <v>0</v>
      </c>
      <c r="J36" s="142">
        <v>101280</v>
      </c>
      <c r="K36" s="142">
        <v>60</v>
      </c>
      <c r="L36" s="142">
        <v>101280</v>
      </c>
      <c r="M36" s="142">
        <v>0</v>
      </c>
      <c r="N36" s="142">
        <v>86230</v>
      </c>
      <c r="O36" s="142">
        <v>4311.5</v>
      </c>
    </row>
    <row r="37" spans="1:15" x14ac:dyDescent="0.55000000000000004">
      <c r="A37" s="142" t="s">
        <v>607</v>
      </c>
      <c r="B37" s="142" t="s">
        <v>608</v>
      </c>
      <c r="C37" s="142" t="s">
        <v>555</v>
      </c>
      <c r="D37" s="142" t="s">
        <v>495</v>
      </c>
      <c r="E37" s="142" t="s">
        <v>545</v>
      </c>
      <c r="F37" s="142" t="s">
        <v>518</v>
      </c>
      <c r="G37" s="142"/>
      <c r="H37" s="142"/>
      <c r="I37" s="142">
        <v>0</v>
      </c>
      <c r="J37" s="142">
        <v>413286</v>
      </c>
      <c r="K37" s="142">
        <v>60</v>
      </c>
      <c r="L37" s="142">
        <v>413286</v>
      </c>
      <c r="M37" s="142">
        <v>0</v>
      </c>
      <c r="N37" s="142">
        <v>382427</v>
      </c>
      <c r="O37" s="142">
        <v>19121.350000000002</v>
      </c>
    </row>
    <row r="38" spans="1:15" x14ac:dyDescent="0.55000000000000004">
      <c r="A38" s="142" t="s">
        <v>609</v>
      </c>
      <c r="B38" s="142" t="s">
        <v>610</v>
      </c>
      <c r="C38" s="142" t="s">
        <v>611</v>
      </c>
      <c r="D38" s="142" t="s">
        <v>495</v>
      </c>
      <c r="E38" s="142" t="s">
        <v>545</v>
      </c>
      <c r="F38" s="142" t="s">
        <v>518</v>
      </c>
      <c r="G38" s="142" t="s">
        <v>519</v>
      </c>
      <c r="H38" s="142"/>
      <c r="I38" s="142">
        <v>0</v>
      </c>
      <c r="J38" s="142">
        <v>562500</v>
      </c>
      <c r="K38" s="142">
        <v>1150000</v>
      </c>
      <c r="L38" s="142">
        <v>562500</v>
      </c>
      <c r="M38" s="142">
        <v>21091833</v>
      </c>
      <c r="N38" s="142">
        <v>100000</v>
      </c>
      <c r="O38" s="142">
        <v>5000</v>
      </c>
    </row>
    <row r="39" spans="1:15" x14ac:dyDescent="0.55000000000000004">
      <c r="A39" s="142" t="s">
        <v>612</v>
      </c>
      <c r="B39" s="142" t="s">
        <v>613</v>
      </c>
      <c r="C39" s="142" t="s">
        <v>614</v>
      </c>
      <c r="D39" s="142" t="s">
        <v>490</v>
      </c>
      <c r="E39" s="142" t="s">
        <v>545</v>
      </c>
      <c r="F39" s="142" t="s">
        <v>518</v>
      </c>
      <c r="G39" s="142"/>
      <c r="H39" s="142"/>
      <c r="I39" s="142">
        <v>0</v>
      </c>
      <c r="J39" s="142">
        <v>16200000</v>
      </c>
      <c r="K39" s="142" t="e">
        <v>#REF!</v>
      </c>
      <c r="L39" s="142">
        <v>16200000</v>
      </c>
      <c r="M39" s="142">
        <v>600000</v>
      </c>
      <c r="N39" s="142">
        <v>2280000</v>
      </c>
      <c r="O39" s="142">
        <v>114000</v>
      </c>
    </row>
    <row r="40" spans="1:15" x14ac:dyDescent="0.55000000000000004">
      <c r="A40" s="142" t="s">
        <v>615</v>
      </c>
      <c r="B40" s="142" t="s">
        <v>616</v>
      </c>
      <c r="C40" s="142" t="s">
        <v>555</v>
      </c>
      <c r="D40" s="142" t="s">
        <v>495</v>
      </c>
      <c r="E40" s="142" t="s">
        <v>545</v>
      </c>
      <c r="F40" s="142" t="s">
        <v>518</v>
      </c>
      <c r="G40" s="142"/>
      <c r="H40" s="142"/>
      <c r="I40" s="142">
        <v>0</v>
      </c>
      <c r="J40" s="142">
        <v>1052773</v>
      </c>
      <c r="K40" s="142">
        <v>60</v>
      </c>
      <c r="L40" s="142">
        <v>1052773</v>
      </c>
      <c r="M40" s="142">
        <v>0</v>
      </c>
      <c r="N40" s="142">
        <v>968820</v>
      </c>
      <c r="O40" s="142">
        <v>48441</v>
      </c>
    </row>
    <row r="41" spans="1:15" x14ac:dyDescent="0.55000000000000004">
      <c r="A41" s="142" t="s">
        <v>617</v>
      </c>
      <c r="B41" s="142" t="s">
        <v>618</v>
      </c>
      <c r="C41" s="142" t="s">
        <v>558</v>
      </c>
      <c r="D41" s="142" t="s">
        <v>495</v>
      </c>
      <c r="E41" s="142" t="s">
        <v>545</v>
      </c>
      <c r="F41" s="142" t="s">
        <v>518</v>
      </c>
      <c r="G41" s="142"/>
      <c r="H41" s="142"/>
      <c r="I41" s="142">
        <v>0</v>
      </c>
      <c r="J41" s="142">
        <v>123572</v>
      </c>
      <c r="K41" s="142" t="e">
        <v>#REF!</v>
      </c>
      <c r="L41" s="142">
        <v>123572</v>
      </c>
      <c r="M41" s="142">
        <v>8833820</v>
      </c>
      <c r="N41" s="142">
        <v>105210</v>
      </c>
      <c r="O41" s="142">
        <v>5260.5</v>
      </c>
    </row>
    <row r="42" spans="1:15" x14ac:dyDescent="0.55000000000000004">
      <c r="A42" s="142" t="s">
        <v>617</v>
      </c>
      <c r="B42" s="142" t="s">
        <v>619</v>
      </c>
      <c r="C42" s="142" t="s">
        <v>558</v>
      </c>
      <c r="D42" s="142" t="s">
        <v>495</v>
      </c>
      <c r="E42" s="142" t="s">
        <v>545</v>
      </c>
      <c r="F42" s="142" t="s">
        <v>518</v>
      </c>
      <c r="G42" s="142"/>
      <c r="H42" s="142"/>
      <c r="I42" s="142">
        <v>0</v>
      </c>
      <c r="J42" s="142">
        <v>185652</v>
      </c>
      <c r="K42" s="142" t="e">
        <v>#REF!</v>
      </c>
      <c r="L42" s="142">
        <v>185652</v>
      </c>
      <c r="M42" s="142">
        <v>8339030</v>
      </c>
      <c r="N42" s="142">
        <v>158065</v>
      </c>
      <c r="O42" s="142">
        <v>7903.25</v>
      </c>
    </row>
    <row r="43" spans="1:15" x14ac:dyDescent="0.55000000000000004">
      <c r="A43" s="142" t="s">
        <v>620</v>
      </c>
      <c r="B43" s="142" t="s">
        <v>621</v>
      </c>
      <c r="C43" s="142" t="s">
        <v>622</v>
      </c>
      <c r="D43" s="142" t="s">
        <v>491</v>
      </c>
      <c r="E43" s="142" t="s">
        <v>527</v>
      </c>
      <c r="F43" s="142" t="s">
        <v>518</v>
      </c>
      <c r="G43" s="142" t="s">
        <v>519</v>
      </c>
      <c r="H43" s="142"/>
      <c r="I43" s="142">
        <v>0</v>
      </c>
      <c r="J43" s="142">
        <v>2800000</v>
      </c>
      <c r="K43" s="142">
        <v>900000</v>
      </c>
      <c r="L43" s="142">
        <v>2800000</v>
      </c>
      <c r="M43" s="142">
        <v>174398574</v>
      </c>
      <c r="N43" s="142">
        <v>200000</v>
      </c>
      <c r="O43" s="142">
        <v>10000</v>
      </c>
    </row>
    <row r="44" spans="1:15" x14ac:dyDescent="0.55000000000000004">
      <c r="A44" s="142" t="s">
        <v>623</v>
      </c>
      <c r="B44" s="142" t="s">
        <v>624</v>
      </c>
      <c r="C44" s="142" t="s">
        <v>625</v>
      </c>
      <c r="D44" s="142" t="s">
        <v>493</v>
      </c>
      <c r="E44" s="142" t="s">
        <v>527</v>
      </c>
      <c r="F44" s="142" t="s">
        <v>518</v>
      </c>
      <c r="G44" s="142" t="s">
        <v>597</v>
      </c>
      <c r="H44" s="142"/>
      <c r="I44" s="142">
        <v>0</v>
      </c>
      <c r="J44" s="142">
        <v>193625</v>
      </c>
      <c r="K44" s="142" t="e">
        <v>#REF!</v>
      </c>
      <c r="L44" s="142">
        <v>193625</v>
      </c>
      <c r="M44" s="142" t="e">
        <v>#REF!</v>
      </c>
      <c r="N44" s="142">
        <v>193625</v>
      </c>
      <c r="O44" s="142">
        <v>9681.25</v>
      </c>
    </row>
    <row r="45" spans="1:15" x14ac:dyDescent="0.55000000000000004">
      <c r="A45" s="142" t="s">
        <v>626</v>
      </c>
      <c r="B45" s="142" t="s">
        <v>627</v>
      </c>
      <c r="C45" s="142" t="s">
        <v>628</v>
      </c>
      <c r="D45" s="142" t="s">
        <v>491</v>
      </c>
      <c r="E45" s="142" t="s">
        <v>517</v>
      </c>
      <c r="F45" s="142" t="s">
        <v>518</v>
      </c>
      <c r="G45" s="142" t="s">
        <v>519</v>
      </c>
      <c r="H45" s="142"/>
      <c r="I45" s="142">
        <v>0</v>
      </c>
      <c r="J45" s="142">
        <v>654720</v>
      </c>
      <c r="K45" s="142">
        <v>60</v>
      </c>
      <c r="L45" s="142">
        <v>654720</v>
      </c>
      <c r="M45" s="142">
        <v>0</v>
      </c>
      <c r="N45" s="142">
        <v>654720</v>
      </c>
      <c r="O45" s="142">
        <v>32736</v>
      </c>
    </row>
    <row r="46" spans="1:15" x14ac:dyDescent="0.55000000000000004">
      <c r="A46" s="142" t="s">
        <v>629</v>
      </c>
      <c r="B46" s="142" t="s">
        <v>630</v>
      </c>
      <c r="C46" s="142" t="s">
        <v>558</v>
      </c>
      <c r="D46" s="142" t="s">
        <v>495</v>
      </c>
      <c r="E46" s="142" t="s">
        <v>545</v>
      </c>
      <c r="F46" s="142" t="s">
        <v>518</v>
      </c>
      <c r="G46" s="142"/>
      <c r="H46" s="142"/>
      <c r="I46" s="142">
        <v>0</v>
      </c>
      <c r="J46" s="142">
        <v>152746</v>
      </c>
      <c r="K46" s="142">
        <v>2000000</v>
      </c>
      <c r="L46" s="142">
        <v>152746</v>
      </c>
      <c r="M46" s="142">
        <v>221142644</v>
      </c>
      <c r="N46" s="142">
        <v>139895</v>
      </c>
      <c r="O46" s="142">
        <v>6994.75</v>
      </c>
    </row>
    <row r="47" spans="1:15" x14ac:dyDescent="0.55000000000000004">
      <c r="A47" s="142" t="s">
        <v>631</v>
      </c>
      <c r="B47" s="142" t="s">
        <v>632</v>
      </c>
      <c r="C47" s="142" t="s">
        <v>558</v>
      </c>
      <c r="D47" s="142" t="s">
        <v>495</v>
      </c>
      <c r="E47" s="142" t="s">
        <v>545</v>
      </c>
      <c r="F47" s="142" t="s">
        <v>518</v>
      </c>
      <c r="G47" s="142"/>
      <c r="H47" s="142"/>
      <c r="I47" s="142">
        <v>0</v>
      </c>
      <c r="J47" s="142">
        <v>150417</v>
      </c>
      <c r="K47" s="142">
        <v>152746</v>
      </c>
      <c r="L47" s="142">
        <v>150417</v>
      </c>
      <c r="M47" s="142">
        <v>193632539</v>
      </c>
      <c r="N47" s="142">
        <v>137761</v>
      </c>
      <c r="O47" s="142">
        <v>6888.05</v>
      </c>
    </row>
    <row r="48" spans="1:15" x14ac:dyDescent="0.55000000000000004">
      <c r="A48" s="142" t="s">
        <v>633</v>
      </c>
      <c r="B48" s="142" t="s">
        <v>634</v>
      </c>
      <c r="C48" s="142" t="s">
        <v>558</v>
      </c>
      <c r="D48" s="142" t="s">
        <v>495</v>
      </c>
      <c r="E48" s="142" t="s">
        <v>545</v>
      </c>
      <c r="F48" s="142" t="s">
        <v>518</v>
      </c>
      <c r="G48" s="142"/>
      <c r="H48" s="142"/>
      <c r="I48" s="142">
        <v>0</v>
      </c>
      <c r="J48" s="142">
        <v>164975</v>
      </c>
      <c r="K48" s="142">
        <v>150417</v>
      </c>
      <c r="L48" s="142">
        <v>164975</v>
      </c>
      <c r="M48" s="142">
        <v>193770300</v>
      </c>
      <c r="N48" s="142">
        <v>151093</v>
      </c>
      <c r="O48" s="142">
        <v>7554.6500000000005</v>
      </c>
    </row>
    <row r="49" spans="1:15" x14ac:dyDescent="0.55000000000000004">
      <c r="A49" s="142" t="s">
        <v>635</v>
      </c>
      <c r="B49" s="142" t="s">
        <v>636</v>
      </c>
      <c r="C49" s="142" t="s">
        <v>558</v>
      </c>
      <c r="D49" s="142" t="s">
        <v>495</v>
      </c>
      <c r="E49" s="142" t="s">
        <v>545</v>
      </c>
      <c r="F49" s="142" t="s">
        <v>518</v>
      </c>
      <c r="G49" s="142"/>
      <c r="H49" s="142"/>
      <c r="I49" s="142">
        <v>0</v>
      </c>
      <c r="J49" s="142">
        <v>21615</v>
      </c>
      <c r="K49" s="142">
        <v>164975</v>
      </c>
      <c r="L49" s="142">
        <v>21615</v>
      </c>
      <c r="M49" s="142">
        <v>221571393</v>
      </c>
      <c r="N49" s="142">
        <v>19806</v>
      </c>
      <c r="O49" s="142">
        <v>990.30000000000007</v>
      </c>
    </row>
    <row r="50" spans="1:15" x14ac:dyDescent="0.55000000000000004">
      <c r="A50" s="142" t="s">
        <v>637</v>
      </c>
      <c r="B50" s="142" t="s">
        <v>638</v>
      </c>
      <c r="C50" s="142" t="s">
        <v>558</v>
      </c>
      <c r="D50" s="142" t="s">
        <v>495</v>
      </c>
      <c r="E50" s="142" t="s">
        <v>545</v>
      </c>
      <c r="F50" s="142" t="s">
        <v>518</v>
      </c>
      <c r="G50" s="142"/>
      <c r="H50" s="142"/>
      <c r="I50" s="142">
        <v>0</v>
      </c>
      <c r="J50" s="142">
        <v>73871</v>
      </c>
      <c r="K50" s="142" t="e">
        <v>#REF!</v>
      </c>
      <c r="L50" s="142">
        <v>73871</v>
      </c>
      <c r="M50" s="142" t="e">
        <v>#REF!</v>
      </c>
      <c r="N50" s="142">
        <v>67655</v>
      </c>
      <c r="O50" s="142">
        <v>3382.75</v>
      </c>
    </row>
    <row r="51" spans="1:15" x14ac:dyDescent="0.55000000000000004">
      <c r="A51" s="142" t="s">
        <v>639</v>
      </c>
      <c r="B51" s="142" t="s">
        <v>640</v>
      </c>
      <c r="C51" s="142" t="s">
        <v>555</v>
      </c>
      <c r="D51" s="142" t="s">
        <v>495</v>
      </c>
      <c r="E51" s="142" t="s">
        <v>545</v>
      </c>
      <c r="F51" s="142" t="s">
        <v>518</v>
      </c>
      <c r="G51" s="142"/>
      <c r="H51" s="142"/>
      <c r="I51" s="142">
        <v>0</v>
      </c>
      <c r="J51" s="142">
        <v>73099</v>
      </c>
      <c r="K51" s="142">
        <v>4650000</v>
      </c>
      <c r="L51" s="142">
        <v>73099</v>
      </c>
      <c r="M51" s="142">
        <v>121129032</v>
      </c>
      <c r="N51" s="142">
        <v>67005</v>
      </c>
      <c r="O51" s="142">
        <v>3350.25</v>
      </c>
    </row>
    <row r="52" spans="1:15" x14ac:dyDescent="0.55000000000000004">
      <c r="A52" s="142" t="s">
        <v>641</v>
      </c>
      <c r="B52" s="142" t="s">
        <v>642</v>
      </c>
      <c r="C52" s="142" t="s">
        <v>643</v>
      </c>
      <c r="D52" s="142" t="s">
        <v>495</v>
      </c>
      <c r="E52" s="142" t="s">
        <v>545</v>
      </c>
      <c r="F52" s="142" t="s">
        <v>518</v>
      </c>
      <c r="G52" s="142"/>
      <c r="H52" s="142"/>
      <c r="I52" s="142">
        <v>0</v>
      </c>
      <c r="J52" s="142">
        <v>1125000</v>
      </c>
      <c r="K52" s="142">
        <v>9960000</v>
      </c>
      <c r="L52" s="142">
        <v>1125000</v>
      </c>
      <c r="M52" s="142" t="e">
        <v>#REF!</v>
      </c>
      <c r="N52" s="142">
        <v>1125000</v>
      </c>
      <c r="O52" s="142">
        <v>56250</v>
      </c>
    </row>
    <row r="53" spans="1:15" x14ac:dyDescent="0.55000000000000004">
      <c r="A53" s="142" t="s">
        <v>644</v>
      </c>
      <c r="B53" s="142" t="s">
        <v>645</v>
      </c>
      <c r="C53" s="142" t="s">
        <v>558</v>
      </c>
      <c r="D53" s="142" t="s">
        <v>495</v>
      </c>
      <c r="E53" s="142" t="s">
        <v>545</v>
      </c>
      <c r="F53" s="142" t="s">
        <v>518</v>
      </c>
      <c r="G53" s="142"/>
      <c r="H53" s="142"/>
      <c r="I53" s="142">
        <v>0</v>
      </c>
      <c r="J53" s="142">
        <v>86907</v>
      </c>
      <c r="K53" s="142" t="e">
        <v>#REF!</v>
      </c>
      <c r="L53" s="142">
        <v>86907</v>
      </c>
      <c r="M53" s="142">
        <v>15720000</v>
      </c>
      <c r="N53" s="142">
        <v>79594</v>
      </c>
      <c r="O53" s="142">
        <v>3979.7000000000003</v>
      </c>
    </row>
    <row r="54" spans="1:15" x14ac:dyDescent="0.55000000000000004">
      <c r="A54" s="142" t="s">
        <v>646</v>
      </c>
      <c r="B54" s="142" t="s">
        <v>647</v>
      </c>
      <c r="C54" s="142" t="s">
        <v>555</v>
      </c>
      <c r="D54" s="142" t="s">
        <v>495</v>
      </c>
      <c r="E54" s="142" t="s">
        <v>545</v>
      </c>
      <c r="F54" s="142" t="s">
        <v>518</v>
      </c>
      <c r="G54" s="142"/>
      <c r="H54" s="142"/>
      <c r="I54" s="142">
        <v>0</v>
      </c>
      <c r="J54" s="142">
        <v>1051213</v>
      </c>
      <c r="K54" s="142">
        <v>86907</v>
      </c>
      <c r="L54" s="142">
        <v>1051213</v>
      </c>
      <c r="M54" s="142">
        <v>15799594</v>
      </c>
      <c r="N54" s="142">
        <v>962822</v>
      </c>
      <c r="O54" s="142">
        <v>48141.100000000006</v>
      </c>
    </row>
    <row r="55" spans="1:15" x14ac:dyDescent="0.55000000000000004">
      <c r="A55" s="142" t="s">
        <v>648</v>
      </c>
      <c r="B55" s="142" t="s">
        <v>649</v>
      </c>
      <c r="C55" s="142" t="s">
        <v>555</v>
      </c>
      <c r="D55" s="142" t="s">
        <v>495</v>
      </c>
      <c r="E55" s="142" t="s">
        <v>545</v>
      </c>
      <c r="F55" s="142" t="s">
        <v>518</v>
      </c>
      <c r="G55" s="142"/>
      <c r="H55" s="142"/>
      <c r="I55" s="142">
        <v>0</v>
      </c>
      <c r="J55" s="142">
        <v>38045</v>
      </c>
      <c r="K55" s="142" t="e">
        <v>#REF!</v>
      </c>
      <c r="L55" s="142">
        <v>38045</v>
      </c>
      <c r="M55" s="142">
        <v>17307916</v>
      </c>
      <c r="N55" s="142">
        <v>34920</v>
      </c>
      <c r="O55" s="142">
        <v>1746</v>
      </c>
    </row>
    <row r="56" spans="1:15" x14ac:dyDescent="0.55000000000000004">
      <c r="A56" s="142" t="s">
        <v>650</v>
      </c>
      <c r="B56" s="142" t="s">
        <v>651</v>
      </c>
      <c r="C56" s="142" t="s">
        <v>652</v>
      </c>
      <c r="D56" s="142" t="s">
        <v>495</v>
      </c>
      <c r="E56" s="142" t="s">
        <v>545</v>
      </c>
      <c r="F56" s="142" t="s">
        <v>518</v>
      </c>
      <c r="G56" s="142"/>
      <c r="H56" s="142"/>
      <c r="I56" s="142">
        <v>0</v>
      </c>
      <c r="J56" s="142">
        <v>791667</v>
      </c>
      <c r="K56" s="142" t="e">
        <v>#REF!</v>
      </c>
      <c r="L56" s="142">
        <v>791667</v>
      </c>
      <c r="M56" s="142">
        <v>17342836</v>
      </c>
      <c r="N56" s="142">
        <v>652423</v>
      </c>
      <c r="O56" s="142">
        <v>32621.15</v>
      </c>
    </row>
    <row r="57" spans="1:15" x14ac:dyDescent="0.55000000000000004">
      <c r="A57" s="142" t="s">
        <v>653</v>
      </c>
      <c r="B57" s="142" t="s">
        <v>654</v>
      </c>
      <c r="C57" s="142" t="s">
        <v>652</v>
      </c>
      <c r="D57" s="142" t="s">
        <v>495</v>
      </c>
      <c r="E57" s="142" t="s">
        <v>545</v>
      </c>
      <c r="F57" s="142" t="s">
        <v>518</v>
      </c>
      <c r="G57" s="142"/>
      <c r="H57" s="142"/>
      <c r="I57" s="142">
        <v>0</v>
      </c>
      <c r="J57" s="142">
        <v>340000</v>
      </c>
      <c r="K57" s="142">
        <v>791667</v>
      </c>
      <c r="L57" s="142">
        <v>340000</v>
      </c>
      <c r="M57" s="142">
        <v>17995259</v>
      </c>
      <c r="N57" s="142">
        <v>283000</v>
      </c>
      <c r="O57" s="142">
        <v>14150</v>
      </c>
    </row>
    <row r="58" spans="1:15" x14ac:dyDescent="0.55000000000000004">
      <c r="A58" s="142" t="s">
        <v>655</v>
      </c>
      <c r="B58" s="142" t="s">
        <v>656</v>
      </c>
      <c r="C58" s="142" t="s">
        <v>652</v>
      </c>
      <c r="D58" s="142" t="s">
        <v>495</v>
      </c>
      <c r="E58" s="142" t="s">
        <v>545</v>
      </c>
      <c r="F58" s="142" t="s">
        <v>518</v>
      </c>
      <c r="G58" s="142"/>
      <c r="H58" s="142"/>
      <c r="I58" s="142">
        <v>0</v>
      </c>
      <c r="J58" s="142">
        <v>551250</v>
      </c>
      <c r="K58" s="142" t="e">
        <v>#REF!</v>
      </c>
      <c r="L58" s="142">
        <v>551250</v>
      </c>
      <c r="M58" s="142">
        <v>19403259</v>
      </c>
      <c r="N58" s="142">
        <v>456750</v>
      </c>
      <c r="O58" s="142">
        <v>22837.5</v>
      </c>
    </row>
    <row r="59" spans="1:15" x14ac:dyDescent="0.55000000000000004">
      <c r="A59" s="142" t="s">
        <v>657</v>
      </c>
      <c r="B59" s="142" t="s">
        <v>658</v>
      </c>
      <c r="C59" s="142" t="s">
        <v>652</v>
      </c>
      <c r="D59" s="142" t="s">
        <v>495</v>
      </c>
      <c r="E59" s="142" t="s">
        <v>545</v>
      </c>
      <c r="F59" s="142" t="s">
        <v>518</v>
      </c>
      <c r="G59" s="142"/>
      <c r="H59" s="142"/>
      <c r="I59" s="142">
        <v>0</v>
      </c>
      <c r="J59" s="142">
        <v>859375</v>
      </c>
      <c r="K59" s="142">
        <v>551250</v>
      </c>
      <c r="L59" s="142">
        <v>859375</v>
      </c>
      <c r="M59" s="142">
        <v>19860009</v>
      </c>
      <c r="N59" s="142">
        <v>715750</v>
      </c>
      <c r="O59" s="142">
        <v>35787.5</v>
      </c>
    </row>
    <row r="60" spans="1:15" x14ac:dyDescent="0.55000000000000004">
      <c r="A60" s="142" t="s">
        <v>659</v>
      </c>
      <c r="B60" s="142" t="s">
        <v>660</v>
      </c>
      <c r="C60" s="142" t="s">
        <v>558</v>
      </c>
      <c r="D60" s="142" t="s">
        <v>495</v>
      </c>
      <c r="E60" s="142" t="s">
        <v>545</v>
      </c>
      <c r="F60" s="142" t="s">
        <v>518</v>
      </c>
      <c r="G60" s="142"/>
      <c r="H60" s="142"/>
      <c r="I60" s="142">
        <v>0</v>
      </c>
      <c r="J60" s="142">
        <v>81485</v>
      </c>
      <c r="K60" s="142">
        <v>3224160</v>
      </c>
      <c r="L60" s="142">
        <v>81485</v>
      </c>
      <c r="M60" s="142">
        <v>168737809</v>
      </c>
      <c r="N60" s="142">
        <v>74628</v>
      </c>
      <c r="O60" s="142">
        <v>3731.4</v>
      </c>
    </row>
    <row r="61" spans="1:15" x14ac:dyDescent="0.55000000000000004">
      <c r="A61" s="142" t="s">
        <v>661</v>
      </c>
      <c r="B61" s="142" t="s">
        <v>662</v>
      </c>
      <c r="C61" s="142" t="s">
        <v>555</v>
      </c>
      <c r="D61" s="142" t="s">
        <v>495</v>
      </c>
      <c r="E61" s="142" t="s">
        <v>545</v>
      </c>
      <c r="F61" s="142" t="s">
        <v>518</v>
      </c>
      <c r="G61" s="142"/>
      <c r="H61" s="142"/>
      <c r="I61" s="142">
        <v>0</v>
      </c>
      <c r="J61" s="142">
        <v>82005</v>
      </c>
      <c r="K61" s="142">
        <v>81485</v>
      </c>
      <c r="L61" s="142">
        <v>82005</v>
      </c>
      <c r="M61" s="142">
        <v>168812437</v>
      </c>
      <c r="N61" s="142">
        <v>75130</v>
      </c>
      <c r="O61" s="142">
        <v>3756.5</v>
      </c>
    </row>
    <row r="62" spans="1:15" x14ac:dyDescent="0.55000000000000004">
      <c r="A62" s="142" t="s">
        <v>663</v>
      </c>
      <c r="B62" s="142" t="s">
        <v>664</v>
      </c>
      <c r="C62" s="142" t="s">
        <v>558</v>
      </c>
      <c r="D62" s="142" t="s">
        <v>495</v>
      </c>
      <c r="E62" s="142" t="s">
        <v>545</v>
      </c>
      <c r="F62" s="142" t="s">
        <v>518</v>
      </c>
      <c r="G62" s="142"/>
      <c r="H62" s="142"/>
      <c r="I62" s="142">
        <v>0</v>
      </c>
      <c r="J62" s="142">
        <v>59126</v>
      </c>
      <c r="K62" s="142" t="e">
        <v>#REF!</v>
      </c>
      <c r="L62" s="142">
        <v>59126</v>
      </c>
      <c r="M62" s="142">
        <v>33542476</v>
      </c>
      <c r="N62" s="142">
        <v>54151</v>
      </c>
      <c r="O62" s="142">
        <v>2707.55</v>
      </c>
    </row>
    <row r="63" spans="1:15" x14ac:dyDescent="0.55000000000000004">
      <c r="A63" s="142" t="s">
        <v>665</v>
      </c>
      <c r="B63" s="142" t="s">
        <v>666</v>
      </c>
      <c r="C63" s="142" t="s">
        <v>667</v>
      </c>
      <c r="D63" s="142" t="s">
        <v>495</v>
      </c>
      <c r="E63" s="142" t="s">
        <v>545</v>
      </c>
      <c r="F63" s="142" t="s">
        <v>518</v>
      </c>
      <c r="G63" s="142"/>
      <c r="H63" s="142"/>
      <c r="I63" s="142">
        <v>0</v>
      </c>
      <c r="J63" s="142">
        <v>1200000</v>
      </c>
      <c r="K63" s="142" t="e">
        <v>#REF!</v>
      </c>
      <c r="L63" s="142">
        <v>1200000</v>
      </c>
      <c r="M63" s="142">
        <v>887738427.42999995</v>
      </c>
      <c r="N63" s="142">
        <v>1200000</v>
      </c>
      <c r="O63" s="142">
        <v>60000</v>
      </c>
    </row>
    <row r="64" spans="1:15" x14ac:dyDescent="0.55000000000000004">
      <c r="A64" s="142" t="s">
        <v>668</v>
      </c>
      <c r="B64" s="142" t="s">
        <v>669</v>
      </c>
      <c r="C64" s="142" t="s">
        <v>667</v>
      </c>
      <c r="D64" s="142" t="s">
        <v>495</v>
      </c>
      <c r="E64" s="142" t="s">
        <v>545</v>
      </c>
      <c r="F64" s="142" t="s">
        <v>518</v>
      </c>
      <c r="G64" s="142"/>
      <c r="H64" s="142"/>
      <c r="I64" s="142">
        <v>0</v>
      </c>
      <c r="J64" s="142">
        <v>980000</v>
      </c>
      <c r="K64" s="142" t="e">
        <v>#REF!</v>
      </c>
      <c r="L64" s="142">
        <v>980000</v>
      </c>
      <c r="M64" s="142">
        <v>1200000</v>
      </c>
      <c r="N64" s="142">
        <v>980000</v>
      </c>
      <c r="O64" s="142">
        <v>49000</v>
      </c>
    </row>
    <row r="65" spans="1:15" x14ac:dyDescent="0.55000000000000004">
      <c r="A65" s="142" t="s">
        <v>670</v>
      </c>
      <c r="B65" s="142" t="s">
        <v>671</v>
      </c>
      <c r="C65" s="142" t="s">
        <v>516</v>
      </c>
      <c r="D65" s="142" t="s">
        <v>491</v>
      </c>
      <c r="E65" s="142" t="s">
        <v>517</v>
      </c>
      <c r="F65" s="142" t="s">
        <v>518</v>
      </c>
      <c r="G65" s="142" t="s">
        <v>519</v>
      </c>
      <c r="H65" s="142"/>
      <c r="I65" s="142">
        <v>0</v>
      </c>
      <c r="J65" s="142">
        <v>2067200</v>
      </c>
      <c r="K65" s="142">
        <v>10500000</v>
      </c>
      <c r="L65" s="142">
        <v>2067200</v>
      </c>
      <c r="M65" s="142">
        <v>189583130.44999999</v>
      </c>
      <c r="N65" s="142">
        <v>2067200</v>
      </c>
      <c r="O65" s="142">
        <v>103360</v>
      </c>
    </row>
    <row r="66" spans="1:15" x14ac:dyDescent="0.55000000000000004">
      <c r="A66" s="142" t="s">
        <v>672</v>
      </c>
      <c r="B66" s="142" t="s">
        <v>673</v>
      </c>
      <c r="C66" s="142" t="s">
        <v>516</v>
      </c>
      <c r="D66" s="142" t="s">
        <v>491</v>
      </c>
      <c r="E66" s="142" t="s">
        <v>517</v>
      </c>
      <c r="F66" s="142" t="s">
        <v>518</v>
      </c>
      <c r="G66" s="142" t="s">
        <v>519</v>
      </c>
      <c r="H66" s="142"/>
      <c r="I66" s="142">
        <v>0</v>
      </c>
      <c r="J66" s="142">
        <v>2176000</v>
      </c>
      <c r="K66" s="142" t="e">
        <v>#REF!</v>
      </c>
      <c r="L66" s="142">
        <v>2176000</v>
      </c>
      <c r="M66" s="142">
        <v>191650330.44999999</v>
      </c>
      <c r="N66" s="142">
        <v>2176000</v>
      </c>
      <c r="O66" s="142">
        <v>108800</v>
      </c>
    </row>
    <row r="67" spans="1:15" x14ac:dyDescent="0.55000000000000004">
      <c r="A67" s="142" t="s">
        <v>674</v>
      </c>
      <c r="B67" s="142" t="s">
        <v>675</v>
      </c>
      <c r="C67" s="142" t="s">
        <v>516</v>
      </c>
      <c r="D67" s="142" t="s">
        <v>491</v>
      </c>
      <c r="E67" s="142" t="s">
        <v>517</v>
      </c>
      <c r="F67" s="142" t="s">
        <v>518</v>
      </c>
      <c r="G67" s="142" t="s">
        <v>519</v>
      </c>
      <c r="H67" s="142"/>
      <c r="I67" s="142">
        <v>0</v>
      </c>
      <c r="J67" s="142">
        <v>450000</v>
      </c>
      <c r="K67" s="142" t="e">
        <v>#REF!</v>
      </c>
      <c r="L67" s="142">
        <v>450000</v>
      </c>
      <c r="M67" s="142">
        <v>24008200</v>
      </c>
      <c r="N67" s="142">
        <v>450000</v>
      </c>
      <c r="O67" s="142">
        <v>22500</v>
      </c>
    </row>
    <row r="68" spans="1:15" x14ac:dyDescent="0.55000000000000004">
      <c r="A68" s="142" t="s">
        <v>676</v>
      </c>
      <c r="B68" s="142" t="s">
        <v>677</v>
      </c>
      <c r="C68" s="142" t="s">
        <v>678</v>
      </c>
      <c r="D68" s="142" t="s">
        <v>493</v>
      </c>
      <c r="E68" s="142" t="s">
        <v>527</v>
      </c>
      <c r="F68" s="142" t="s">
        <v>518</v>
      </c>
      <c r="G68" s="142" t="s">
        <v>679</v>
      </c>
      <c r="H68" s="142"/>
      <c r="I68" s="142">
        <v>0</v>
      </c>
      <c r="J68" s="142">
        <v>58100000</v>
      </c>
      <c r="K68" s="142" t="e">
        <v>#REF!</v>
      </c>
      <c r="L68" s="142">
        <v>58100000</v>
      </c>
      <c r="M68" s="142">
        <v>24458200</v>
      </c>
      <c r="N68" s="142">
        <v>10600000</v>
      </c>
      <c r="O68" s="142">
        <v>530000</v>
      </c>
    </row>
    <row r="69" spans="1:15" x14ac:dyDescent="0.55000000000000004">
      <c r="A69" s="142" t="s">
        <v>680</v>
      </c>
      <c r="B69" s="142" t="s">
        <v>681</v>
      </c>
      <c r="C69" s="142" t="s">
        <v>516</v>
      </c>
      <c r="D69" s="142" t="s">
        <v>491</v>
      </c>
      <c r="E69" s="142" t="s">
        <v>517</v>
      </c>
      <c r="F69" s="142" t="s">
        <v>518</v>
      </c>
      <c r="G69" s="142" t="s">
        <v>519</v>
      </c>
      <c r="H69" s="142"/>
      <c r="I69" s="142">
        <v>0</v>
      </c>
      <c r="J69" s="142">
        <v>400000</v>
      </c>
      <c r="K69" s="142" t="e">
        <v>#REF!</v>
      </c>
      <c r="L69" s="142">
        <v>400000</v>
      </c>
      <c r="M69" s="142">
        <v>35058200</v>
      </c>
      <c r="N69" s="142">
        <v>400000</v>
      </c>
      <c r="O69" s="142">
        <v>20000</v>
      </c>
    </row>
    <row r="70" spans="1:15" x14ac:dyDescent="0.55000000000000004">
      <c r="A70" s="142" t="s">
        <v>682</v>
      </c>
      <c r="B70" s="142" t="s">
        <v>683</v>
      </c>
      <c r="C70" s="142" t="s">
        <v>684</v>
      </c>
      <c r="D70" s="142" t="s">
        <v>490</v>
      </c>
      <c r="E70" s="142" t="s">
        <v>545</v>
      </c>
      <c r="F70" s="142" t="s">
        <v>518</v>
      </c>
      <c r="G70" s="142"/>
      <c r="H70" s="142"/>
      <c r="I70" s="142">
        <v>0</v>
      </c>
      <c r="J70" s="142">
        <v>600000</v>
      </c>
      <c r="K70" s="142">
        <v>60</v>
      </c>
      <c r="L70" s="142">
        <v>600000</v>
      </c>
      <c r="M70" s="142">
        <v>0</v>
      </c>
      <c r="N70" s="142">
        <v>480000</v>
      </c>
      <c r="O70" s="142">
        <v>24000</v>
      </c>
    </row>
    <row r="71" spans="1:15" x14ac:dyDescent="0.55000000000000004">
      <c r="A71" s="142" t="s">
        <v>685</v>
      </c>
      <c r="B71" s="142" t="s">
        <v>686</v>
      </c>
      <c r="C71" s="142" t="s">
        <v>558</v>
      </c>
      <c r="D71" s="142" t="s">
        <v>495</v>
      </c>
      <c r="E71" s="142" t="s">
        <v>545</v>
      </c>
      <c r="F71" s="142" t="s">
        <v>518</v>
      </c>
      <c r="G71" s="142"/>
      <c r="H71" s="142"/>
      <c r="I71" s="142">
        <v>0</v>
      </c>
      <c r="J71" s="142">
        <v>52515</v>
      </c>
      <c r="K71" s="142">
        <v>1500000</v>
      </c>
      <c r="L71" s="142">
        <v>52515</v>
      </c>
      <c r="M71" s="142">
        <v>239059582</v>
      </c>
      <c r="N71" s="142">
        <v>48096</v>
      </c>
      <c r="O71" s="142">
        <v>2404.8000000000002</v>
      </c>
    </row>
    <row r="72" spans="1:15" x14ac:dyDescent="0.55000000000000004">
      <c r="A72" s="142" t="s">
        <v>687</v>
      </c>
      <c r="B72" s="142" t="s">
        <v>688</v>
      </c>
      <c r="C72" s="142" t="s">
        <v>558</v>
      </c>
      <c r="D72" s="142" t="s">
        <v>495</v>
      </c>
      <c r="E72" s="142" t="s">
        <v>545</v>
      </c>
      <c r="F72" s="142" t="s">
        <v>518</v>
      </c>
      <c r="G72" s="142"/>
      <c r="H72" s="142"/>
      <c r="I72" s="142">
        <v>0</v>
      </c>
      <c r="J72" s="142">
        <v>76954</v>
      </c>
      <c r="K72" s="142">
        <v>60</v>
      </c>
      <c r="L72" s="142">
        <v>76954</v>
      </c>
      <c r="M72" s="142">
        <v>0</v>
      </c>
      <c r="N72" s="142">
        <v>70479</v>
      </c>
      <c r="O72" s="142">
        <v>3523.9500000000003</v>
      </c>
    </row>
    <row r="73" spans="1:15" x14ac:dyDescent="0.55000000000000004">
      <c r="A73" s="142" t="s">
        <v>689</v>
      </c>
      <c r="B73" s="142" t="s">
        <v>690</v>
      </c>
      <c r="C73" s="142" t="s">
        <v>555</v>
      </c>
      <c r="D73" s="142" t="s">
        <v>495</v>
      </c>
      <c r="E73" s="142" t="s">
        <v>545</v>
      </c>
      <c r="F73" s="142" t="s">
        <v>518</v>
      </c>
      <c r="G73" s="142"/>
      <c r="H73" s="142"/>
      <c r="I73" s="142">
        <v>0</v>
      </c>
      <c r="J73" s="142">
        <v>818521</v>
      </c>
      <c r="K73" s="142" t="e">
        <v>#REF!</v>
      </c>
      <c r="L73" s="142">
        <v>818521</v>
      </c>
      <c r="M73" s="142" t="e">
        <v>#REF!</v>
      </c>
      <c r="N73" s="142">
        <v>749693</v>
      </c>
      <c r="O73" s="142">
        <v>37484.65</v>
      </c>
    </row>
    <row r="74" spans="1:15" x14ac:dyDescent="0.55000000000000004">
      <c r="A74" s="142" t="s">
        <v>691</v>
      </c>
      <c r="B74" s="142" t="s">
        <v>692</v>
      </c>
      <c r="C74" s="142" t="s">
        <v>555</v>
      </c>
      <c r="D74" s="142" t="s">
        <v>495</v>
      </c>
      <c r="E74" s="142" t="s">
        <v>545</v>
      </c>
      <c r="F74" s="142" t="s">
        <v>518</v>
      </c>
      <c r="G74" s="142"/>
      <c r="H74" s="142"/>
      <c r="I74" s="142">
        <v>0</v>
      </c>
      <c r="J74" s="142">
        <v>188733</v>
      </c>
      <c r="K74" s="142" t="e">
        <v>#REF!</v>
      </c>
      <c r="L74" s="142">
        <v>188733</v>
      </c>
      <c r="M74" s="142">
        <v>27448268</v>
      </c>
      <c r="N74" s="142">
        <v>172920</v>
      </c>
      <c r="O74" s="142">
        <v>8646</v>
      </c>
    </row>
    <row r="75" spans="1:15" x14ac:dyDescent="0.55000000000000004">
      <c r="A75" s="142" t="s">
        <v>693</v>
      </c>
      <c r="B75" s="142" t="s">
        <v>694</v>
      </c>
      <c r="C75" s="142" t="s">
        <v>558</v>
      </c>
      <c r="D75" s="142" t="s">
        <v>495</v>
      </c>
      <c r="E75" s="142" t="s">
        <v>545</v>
      </c>
      <c r="F75" s="142" t="s">
        <v>518</v>
      </c>
      <c r="G75" s="142"/>
      <c r="H75" s="142"/>
      <c r="I75" s="142">
        <v>0</v>
      </c>
      <c r="J75" s="142">
        <v>89990</v>
      </c>
      <c r="K75" s="142" t="e">
        <v>#REF!</v>
      </c>
      <c r="L75" s="142">
        <v>89990</v>
      </c>
      <c r="M75" s="142">
        <v>9621188</v>
      </c>
      <c r="N75" s="142">
        <v>82419</v>
      </c>
      <c r="O75" s="142">
        <v>4120.95</v>
      </c>
    </row>
    <row r="76" spans="1:15" x14ac:dyDescent="0.55000000000000004">
      <c r="A76" s="142" t="s">
        <v>695</v>
      </c>
      <c r="B76" s="142" t="s">
        <v>696</v>
      </c>
      <c r="C76" s="142" t="s">
        <v>667</v>
      </c>
      <c r="D76" s="142" t="s">
        <v>495</v>
      </c>
      <c r="E76" s="142" t="s">
        <v>545</v>
      </c>
      <c r="F76" s="142" t="s">
        <v>518</v>
      </c>
      <c r="G76" s="142"/>
      <c r="H76" s="142"/>
      <c r="I76" s="142">
        <v>0</v>
      </c>
      <c r="J76" s="142">
        <v>2386250</v>
      </c>
      <c r="K76" s="142">
        <v>1373750</v>
      </c>
      <c r="L76" s="142">
        <v>2386250</v>
      </c>
      <c r="M76" s="142" t="e">
        <v>#REF!</v>
      </c>
      <c r="N76" s="142">
        <v>2386250</v>
      </c>
      <c r="O76" s="142">
        <v>119312.5</v>
      </c>
    </row>
    <row r="77" spans="1:15" x14ac:dyDescent="0.55000000000000004">
      <c r="A77" s="142" t="s">
        <v>697</v>
      </c>
      <c r="B77" s="142" t="s">
        <v>698</v>
      </c>
      <c r="C77" s="142" t="s">
        <v>555</v>
      </c>
      <c r="D77" s="142" t="s">
        <v>495</v>
      </c>
      <c r="E77" s="142" t="s">
        <v>545</v>
      </c>
      <c r="F77" s="142" t="s">
        <v>518</v>
      </c>
      <c r="G77" s="142"/>
      <c r="H77" s="142"/>
      <c r="I77" s="142">
        <v>0</v>
      </c>
      <c r="J77" s="142">
        <v>29897</v>
      </c>
      <c r="K77" s="142" t="e">
        <v>#REF!</v>
      </c>
      <c r="L77" s="142">
        <v>29897</v>
      </c>
      <c r="M77" s="142">
        <v>12176703</v>
      </c>
      <c r="N77" s="142">
        <v>29897</v>
      </c>
      <c r="O77" s="142">
        <v>1494.8500000000001</v>
      </c>
    </row>
    <row r="78" spans="1:15" x14ac:dyDescent="0.55000000000000004">
      <c r="A78" s="142" t="s">
        <v>699</v>
      </c>
      <c r="B78" s="142" t="s">
        <v>700</v>
      </c>
      <c r="C78" s="142" t="s">
        <v>558</v>
      </c>
      <c r="D78" s="142" t="s">
        <v>495</v>
      </c>
      <c r="E78" s="142" t="s">
        <v>545</v>
      </c>
      <c r="F78" s="142" t="s">
        <v>518</v>
      </c>
      <c r="G78" s="142"/>
      <c r="H78" s="142"/>
      <c r="I78" s="142">
        <v>0</v>
      </c>
      <c r="J78" s="142">
        <v>125941</v>
      </c>
      <c r="K78" s="142" t="e">
        <v>#REF!</v>
      </c>
      <c r="L78" s="142">
        <v>125941</v>
      </c>
      <c r="M78" s="142">
        <v>33148347</v>
      </c>
      <c r="N78" s="142">
        <v>125941</v>
      </c>
      <c r="O78" s="142">
        <v>6297.05</v>
      </c>
    </row>
    <row r="79" spans="1:15" x14ac:dyDescent="0.55000000000000004">
      <c r="A79" s="142" t="s">
        <v>701</v>
      </c>
      <c r="B79" s="142" t="s">
        <v>702</v>
      </c>
      <c r="C79" s="142" t="s">
        <v>555</v>
      </c>
      <c r="D79" s="142" t="s">
        <v>495</v>
      </c>
      <c r="E79" s="142" t="s">
        <v>545</v>
      </c>
      <c r="F79" s="142" t="s">
        <v>518</v>
      </c>
      <c r="G79" s="142"/>
      <c r="H79" s="142"/>
      <c r="I79" s="142">
        <v>0</v>
      </c>
      <c r="J79" s="142">
        <v>64622</v>
      </c>
      <c r="K79" s="142">
        <v>60</v>
      </c>
      <c r="L79" s="142">
        <v>64622</v>
      </c>
      <c r="M79" s="142">
        <v>0</v>
      </c>
      <c r="N79" s="142">
        <v>64622</v>
      </c>
      <c r="O79" s="142">
        <v>3231.1000000000004</v>
      </c>
    </row>
    <row r="80" spans="1:15" x14ac:dyDescent="0.55000000000000004">
      <c r="A80" s="142" t="s">
        <v>703</v>
      </c>
      <c r="B80" s="142" t="s">
        <v>704</v>
      </c>
      <c r="C80" s="142" t="s">
        <v>558</v>
      </c>
      <c r="D80" s="142" t="s">
        <v>495</v>
      </c>
      <c r="E80" s="142" t="s">
        <v>545</v>
      </c>
      <c r="F80" s="142" t="s">
        <v>518</v>
      </c>
      <c r="G80" s="142"/>
      <c r="H80" s="142"/>
      <c r="I80" s="142">
        <v>0</v>
      </c>
      <c r="J80" s="142">
        <v>136437</v>
      </c>
      <c r="K80" s="142" t="e">
        <v>#REF!</v>
      </c>
      <c r="L80" s="142">
        <v>136437</v>
      </c>
      <c r="M80" s="142">
        <v>41731443</v>
      </c>
      <c r="N80" s="142">
        <v>136437</v>
      </c>
      <c r="O80" s="142">
        <v>6821.85</v>
      </c>
    </row>
    <row r="81" spans="1:15" x14ac:dyDescent="0.55000000000000004">
      <c r="A81" s="142" t="s">
        <v>705</v>
      </c>
      <c r="B81" s="142" t="s">
        <v>706</v>
      </c>
      <c r="C81" s="142" t="s">
        <v>555</v>
      </c>
      <c r="D81" s="142" t="s">
        <v>495</v>
      </c>
      <c r="E81" s="142" t="s">
        <v>545</v>
      </c>
      <c r="F81" s="142" t="s">
        <v>518</v>
      </c>
      <c r="G81" s="142"/>
      <c r="H81" s="142"/>
      <c r="I81" s="142">
        <v>0</v>
      </c>
      <c r="J81" s="142">
        <v>926673</v>
      </c>
      <c r="K81" s="142">
        <v>136437</v>
      </c>
      <c r="L81" s="142">
        <v>926673</v>
      </c>
      <c r="M81" s="142">
        <v>41867880</v>
      </c>
      <c r="N81" s="142">
        <v>926673</v>
      </c>
      <c r="O81" s="142">
        <v>46333.65</v>
      </c>
    </row>
    <row r="82" spans="1:15" x14ac:dyDescent="0.55000000000000004">
      <c r="A82" s="142" t="s">
        <v>707</v>
      </c>
      <c r="B82" s="142" t="s">
        <v>708</v>
      </c>
      <c r="C82" s="142" t="s">
        <v>678</v>
      </c>
      <c r="D82" s="142" t="s">
        <v>493</v>
      </c>
      <c r="E82" s="142" t="s">
        <v>527</v>
      </c>
      <c r="F82" s="142" t="s">
        <v>518</v>
      </c>
      <c r="G82" s="142" t="s">
        <v>679</v>
      </c>
      <c r="H82" s="142"/>
      <c r="I82" s="142">
        <v>0</v>
      </c>
      <c r="J82" s="142">
        <v>678700</v>
      </c>
      <c r="K82" s="142">
        <v>1550000</v>
      </c>
      <c r="L82" s="142">
        <v>678700</v>
      </c>
      <c r="M82" s="142" t="e">
        <v>#REF!</v>
      </c>
      <c r="N82" s="142">
        <v>678700</v>
      </c>
      <c r="O82" s="142">
        <v>33935</v>
      </c>
    </row>
    <row r="83" spans="1:15" x14ac:dyDescent="0.55000000000000004">
      <c r="A83" s="142" t="s">
        <v>709</v>
      </c>
      <c r="B83" s="142" t="s">
        <v>710</v>
      </c>
      <c r="C83" s="142" t="s">
        <v>516</v>
      </c>
      <c r="D83" s="142" t="s">
        <v>491</v>
      </c>
      <c r="E83" s="142" t="s">
        <v>517</v>
      </c>
      <c r="F83" s="142" t="s">
        <v>518</v>
      </c>
      <c r="G83" s="142" t="s">
        <v>519</v>
      </c>
      <c r="H83" s="142"/>
      <c r="I83" s="142">
        <v>0</v>
      </c>
      <c r="J83" s="142">
        <v>2400000</v>
      </c>
      <c r="K83" s="142">
        <v>2000000</v>
      </c>
      <c r="L83" s="142">
        <v>2400000</v>
      </c>
      <c r="M83" s="142">
        <v>262502686</v>
      </c>
      <c r="N83" s="142">
        <v>2400000</v>
      </c>
      <c r="O83" s="142">
        <v>120000</v>
      </c>
    </row>
    <row r="84" spans="1:15" x14ac:dyDescent="0.55000000000000004">
      <c r="A84" s="142" t="s">
        <v>711</v>
      </c>
      <c r="B84" s="142" t="s">
        <v>712</v>
      </c>
      <c r="C84" s="142" t="s">
        <v>558</v>
      </c>
      <c r="D84" s="142" t="s">
        <v>495</v>
      </c>
      <c r="E84" s="142" t="s">
        <v>545</v>
      </c>
      <c r="F84" s="142" t="s">
        <v>518</v>
      </c>
      <c r="G84" s="142"/>
      <c r="H84" s="142"/>
      <c r="I84" s="142">
        <v>0</v>
      </c>
      <c r="J84" s="142">
        <v>95581</v>
      </c>
      <c r="K84" s="142">
        <v>60</v>
      </c>
      <c r="L84" s="142">
        <v>95581</v>
      </c>
      <c r="M84" s="142">
        <v>0</v>
      </c>
      <c r="N84" s="142">
        <v>95581</v>
      </c>
      <c r="O84" s="142">
        <v>4779.05</v>
      </c>
    </row>
    <row r="85" spans="1:15" x14ac:dyDescent="0.55000000000000004">
      <c r="A85" s="142" t="s">
        <v>713</v>
      </c>
      <c r="B85" s="142" t="s">
        <v>714</v>
      </c>
      <c r="C85" s="142" t="s">
        <v>667</v>
      </c>
      <c r="D85" s="142" t="s">
        <v>495</v>
      </c>
      <c r="E85" s="142" t="s">
        <v>545</v>
      </c>
      <c r="F85" s="142" t="s">
        <v>518</v>
      </c>
      <c r="G85" s="142"/>
      <c r="H85" s="142"/>
      <c r="I85" s="142">
        <v>0</v>
      </c>
      <c r="J85" s="142">
        <v>4510000</v>
      </c>
      <c r="K85" s="142" t="e">
        <v>#REF!</v>
      </c>
      <c r="L85" s="142">
        <v>4510000</v>
      </c>
      <c r="M85" s="142">
        <v>203396831</v>
      </c>
      <c r="N85" s="142">
        <v>4510000</v>
      </c>
      <c r="O85" s="142">
        <v>225500</v>
      </c>
    </row>
    <row r="86" spans="1:15" x14ac:dyDescent="0.55000000000000004">
      <c r="A86" s="142" t="s">
        <v>715</v>
      </c>
      <c r="B86" s="142" t="s">
        <v>716</v>
      </c>
      <c r="C86" s="142" t="s">
        <v>558</v>
      </c>
      <c r="D86" s="142" t="s">
        <v>495</v>
      </c>
      <c r="E86" s="142" t="s">
        <v>545</v>
      </c>
      <c r="F86" s="142" t="s">
        <v>518</v>
      </c>
      <c r="G86" s="142"/>
      <c r="H86" s="142"/>
      <c r="I86" s="142">
        <v>0</v>
      </c>
      <c r="J86" s="142">
        <v>82164</v>
      </c>
      <c r="K86" s="142" t="e">
        <v>#REF!</v>
      </c>
      <c r="L86" s="142">
        <v>82164</v>
      </c>
      <c r="M86" s="142">
        <v>20206460</v>
      </c>
      <c r="N86" s="142">
        <v>82164</v>
      </c>
      <c r="O86" s="142">
        <v>4108.2</v>
      </c>
    </row>
    <row r="87" spans="1:15" x14ac:dyDescent="0.55000000000000004">
      <c r="A87" s="142" t="s">
        <v>717</v>
      </c>
      <c r="B87" s="142" t="s">
        <v>718</v>
      </c>
      <c r="C87" s="142" t="s">
        <v>555</v>
      </c>
      <c r="D87" s="142" t="s">
        <v>495</v>
      </c>
      <c r="E87" s="142" t="s">
        <v>545</v>
      </c>
      <c r="F87" s="142" t="s">
        <v>518</v>
      </c>
      <c r="G87" s="142"/>
      <c r="H87" s="142"/>
      <c r="I87" s="142">
        <v>0</v>
      </c>
      <c r="J87" s="142">
        <v>266897</v>
      </c>
      <c r="K87" s="142" t="e">
        <v>#REF!</v>
      </c>
      <c r="L87" s="142">
        <v>266897</v>
      </c>
      <c r="M87" s="142">
        <v>1207164</v>
      </c>
      <c r="N87" s="142">
        <v>266897</v>
      </c>
      <c r="O87" s="142">
        <v>13344.85</v>
      </c>
    </row>
    <row r="88" spans="1:15" x14ac:dyDescent="0.55000000000000004">
      <c r="A88" s="142" t="s">
        <v>719</v>
      </c>
      <c r="B88" s="142" t="s">
        <v>720</v>
      </c>
      <c r="C88" s="142" t="s">
        <v>558</v>
      </c>
      <c r="D88" s="142" t="s">
        <v>495</v>
      </c>
      <c r="E88" s="142" t="s">
        <v>545</v>
      </c>
      <c r="F88" s="142" t="s">
        <v>518</v>
      </c>
      <c r="G88" s="142"/>
      <c r="H88" s="142"/>
      <c r="I88" s="142">
        <v>0</v>
      </c>
      <c r="J88" s="142">
        <v>96524</v>
      </c>
      <c r="K88" s="142">
        <v>60</v>
      </c>
      <c r="L88" s="142">
        <v>96524</v>
      </c>
      <c r="M88" s="142">
        <v>0</v>
      </c>
      <c r="N88" s="142">
        <v>96524</v>
      </c>
      <c r="O88" s="142">
        <v>4826.2</v>
      </c>
    </row>
    <row r="89" spans="1:15" x14ac:dyDescent="0.55000000000000004">
      <c r="A89" s="142" t="s">
        <v>721</v>
      </c>
      <c r="B89" s="142" t="s">
        <v>722</v>
      </c>
      <c r="C89" s="142" t="s">
        <v>558</v>
      </c>
      <c r="D89" s="142" t="s">
        <v>495</v>
      </c>
      <c r="E89" s="142" t="s">
        <v>545</v>
      </c>
      <c r="F89" s="142" t="s">
        <v>518</v>
      </c>
      <c r="G89" s="142"/>
      <c r="H89" s="142"/>
      <c r="I89" s="142">
        <v>0</v>
      </c>
      <c r="J89" s="142">
        <v>161539</v>
      </c>
      <c r="K89" s="142" t="e">
        <v>#REF!</v>
      </c>
      <c r="L89" s="142">
        <v>161539</v>
      </c>
      <c r="M89" s="142" t="e">
        <v>#REF!</v>
      </c>
      <c r="N89" s="142">
        <v>161539</v>
      </c>
      <c r="O89" s="142">
        <v>8076.9500000000007</v>
      </c>
    </row>
    <row r="90" spans="1:15" x14ac:dyDescent="0.55000000000000004">
      <c r="A90" s="142" t="s">
        <v>723</v>
      </c>
      <c r="B90" s="142" t="s">
        <v>724</v>
      </c>
      <c r="C90" s="142" t="s">
        <v>561</v>
      </c>
      <c r="D90" s="142" t="s">
        <v>495</v>
      </c>
      <c r="E90" s="142" t="s">
        <v>545</v>
      </c>
      <c r="F90" s="142" t="s">
        <v>518</v>
      </c>
      <c r="G90" s="142"/>
      <c r="H90" s="142"/>
      <c r="I90" s="142">
        <v>0</v>
      </c>
      <c r="J90" s="142">
        <v>10845000</v>
      </c>
      <c r="K90" s="142" t="e">
        <v>#REF!</v>
      </c>
      <c r="L90" s="142">
        <v>10845000</v>
      </c>
      <c r="M90" s="142">
        <v>9103463</v>
      </c>
      <c r="N90" s="142">
        <v>10845000</v>
      </c>
      <c r="O90" s="142">
        <v>542250</v>
      </c>
    </row>
    <row r="91" spans="1:15" x14ac:dyDescent="0.55000000000000004">
      <c r="A91" s="142" t="s">
        <v>725</v>
      </c>
      <c r="B91" s="142" t="s">
        <v>726</v>
      </c>
      <c r="C91" s="142" t="s">
        <v>678</v>
      </c>
      <c r="D91" s="142" t="s">
        <v>493</v>
      </c>
      <c r="E91" s="142" t="s">
        <v>527</v>
      </c>
      <c r="F91" s="142" t="s">
        <v>518</v>
      </c>
      <c r="G91" s="142" t="s">
        <v>679</v>
      </c>
      <c r="H91" s="142"/>
      <c r="I91" s="142">
        <v>0</v>
      </c>
      <c r="J91" s="142">
        <v>200000</v>
      </c>
      <c r="K91" s="142">
        <v>2750000</v>
      </c>
      <c r="L91" s="142">
        <v>200000</v>
      </c>
      <c r="M91" s="142">
        <v>201509821</v>
      </c>
      <c r="N91" s="142">
        <v>200000</v>
      </c>
      <c r="O91" s="142">
        <v>10000</v>
      </c>
    </row>
    <row r="92" spans="1:15" x14ac:dyDescent="0.55000000000000004">
      <c r="A92" s="142" t="s">
        <v>727</v>
      </c>
      <c r="B92" s="142" t="s">
        <v>728</v>
      </c>
      <c r="C92" s="142" t="s">
        <v>555</v>
      </c>
      <c r="D92" s="142" t="s">
        <v>495</v>
      </c>
      <c r="E92" s="142" t="s">
        <v>545</v>
      </c>
      <c r="F92" s="142" t="s">
        <v>518</v>
      </c>
      <c r="G92" s="142"/>
      <c r="H92" s="142"/>
      <c r="I92" s="142">
        <v>0</v>
      </c>
      <c r="J92" s="142">
        <v>137391</v>
      </c>
      <c r="K92" s="142">
        <v>60</v>
      </c>
      <c r="L92" s="142">
        <v>137391</v>
      </c>
      <c r="M92" s="142">
        <v>0</v>
      </c>
      <c r="N92" s="142">
        <v>137391</v>
      </c>
      <c r="O92" s="142">
        <v>6869.55</v>
      </c>
    </row>
    <row r="93" spans="1:15" x14ac:dyDescent="0.55000000000000004">
      <c r="A93" s="142" t="s">
        <v>729</v>
      </c>
      <c r="B93" s="142" t="s">
        <v>730</v>
      </c>
      <c r="C93" s="142" t="s">
        <v>558</v>
      </c>
      <c r="D93" s="142" t="s">
        <v>495</v>
      </c>
      <c r="E93" s="142" t="s">
        <v>545</v>
      </c>
      <c r="F93" s="142" t="s">
        <v>518</v>
      </c>
      <c r="G93" s="142"/>
      <c r="H93" s="142"/>
      <c r="I93" s="142">
        <v>0</v>
      </c>
      <c r="J93" s="142">
        <v>127354</v>
      </c>
      <c r="K93" s="142" t="e">
        <v>#REF!</v>
      </c>
      <c r="L93" s="142">
        <v>127354</v>
      </c>
      <c r="M93" s="142" t="e">
        <v>#REF!</v>
      </c>
      <c r="N93" s="142">
        <v>127354</v>
      </c>
      <c r="O93" s="142">
        <v>6367.7000000000007</v>
      </c>
    </row>
    <row r="94" spans="1:15" x14ac:dyDescent="0.55000000000000004">
      <c r="A94" s="142" t="s">
        <v>731</v>
      </c>
      <c r="B94" s="142" t="s">
        <v>732</v>
      </c>
      <c r="C94" s="142" t="s">
        <v>558</v>
      </c>
      <c r="D94" s="142" t="s">
        <v>495</v>
      </c>
      <c r="E94" s="142" t="s">
        <v>545</v>
      </c>
      <c r="F94" s="142" t="s">
        <v>518</v>
      </c>
      <c r="G94" s="142"/>
      <c r="H94" s="142"/>
      <c r="I94" s="142">
        <v>0</v>
      </c>
      <c r="J94" s="142">
        <v>135533</v>
      </c>
      <c r="K94" s="142" t="e">
        <v>#REF!</v>
      </c>
      <c r="L94" s="142">
        <v>135533</v>
      </c>
      <c r="M94" s="142">
        <v>9950000</v>
      </c>
      <c r="N94" s="142">
        <v>135533</v>
      </c>
      <c r="O94" s="142">
        <v>6776.6500000000005</v>
      </c>
    </row>
    <row r="95" spans="1:15" x14ac:dyDescent="0.55000000000000004">
      <c r="A95" s="142" t="s">
        <v>733</v>
      </c>
      <c r="B95" s="142" t="s">
        <v>734</v>
      </c>
      <c r="C95" s="142" t="s">
        <v>555</v>
      </c>
      <c r="D95" s="142" t="s">
        <v>495</v>
      </c>
      <c r="E95" s="142" t="s">
        <v>545</v>
      </c>
      <c r="F95" s="142" t="s">
        <v>518</v>
      </c>
      <c r="G95" s="142"/>
      <c r="H95" s="142"/>
      <c r="I95" s="142">
        <v>0</v>
      </c>
      <c r="J95" s="142">
        <v>113475</v>
      </c>
      <c r="K95" s="142">
        <v>1214000</v>
      </c>
      <c r="L95" s="142">
        <v>113475</v>
      </c>
      <c r="M95" s="142" t="e">
        <v>#REF!</v>
      </c>
      <c r="N95" s="142">
        <v>113475</v>
      </c>
      <c r="O95" s="142">
        <v>5673.75</v>
      </c>
    </row>
    <row r="96" spans="1:15" x14ac:dyDescent="0.55000000000000004">
      <c r="A96" s="142" t="s">
        <v>735</v>
      </c>
      <c r="B96" s="142" t="s">
        <v>736</v>
      </c>
      <c r="C96" s="142" t="s">
        <v>558</v>
      </c>
      <c r="D96" s="142" t="s">
        <v>495</v>
      </c>
      <c r="E96" s="142" t="s">
        <v>545</v>
      </c>
      <c r="F96" s="142" t="s">
        <v>518</v>
      </c>
      <c r="G96" s="142"/>
      <c r="H96" s="142"/>
      <c r="I96" s="142">
        <v>0</v>
      </c>
      <c r="J96" s="142">
        <v>213476</v>
      </c>
      <c r="K96" s="142">
        <v>60</v>
      </c>
      <c r="L96" s="142">
        <v>213476</v>
      </c>
      <c r="M96" s="142">
        <v>0</v>
      </c>
      <c r="N96" s="142">
        <v>213476</v>
      </c>
      <c r="O96" s="142">
        <v>10673.800000000001</v>
      </c>
    </row>
    <row r="97" spans="1:15" x14ac:dyDescent="0.55000000000000004">
      <c r="A97" s="142" t="s">
        <v>737</v>
      </c>
      <c r="B97" s="142" t="s">
        <v>738</v>
      </c>
      <c r="C97" s="142" t="s">
        <v>555</v>
      </c>
      <c r="D97" s="142" t="s">
        <v>495</v>
      </c>
      <c r="E97" s="142" t="s">
        <v>545</v>
      </c>
      <c r="F97" s="142" t="s">
        <v>518</v>
      </c>
      <c r="G97" s="142"/>
      <c r="H97" s="142"/>
      <c r="I97" s="142">
        <v>0</v>
      </c>
      <c r="J97" s="142">
        <v>716866</v>
      </c>
      <c r="K97" s="142" t="e">
        <v>#REF!</v>
      </c>
      <c r="L97" s="142">
        <v>716866</v>
      </c>
      <c r="M97" s="142" t="e">
        <v>#REF!</v>
      </c>
      <c r="N97" s="142">
        <v>716866</v>
      </c>
      <c r="O97" s="142">
        <v>35843.300000000003</v>
      </c>
    </row>
    <row r="98" spans="1:15" x14ac:dyDescent="0.55000000000000004">
      <c r="A98" s="142" t="s">
        <v>739</v>
      </c>
      <c r="B98" s="142" t="s">
        <v>740</v>
      </c>
      <c r="C98" s="142" t="s">
        <v>558</v>
      </c>
      <c r="D98" s="142" t="s">
        <v>495</v>
      </c>
      <c r="E98" s="142" t="s">
        <v>545</v>
      </c>
      <c r="F98" s="142" t="s">
        <v>518</v>
      </c>
      <c r="G98" s="142"/>
      <c r="H98" s="142"/>
      <c r="I98" s="142">
        <v>0</v>
      </c>
      <c r="J98" s="142">
        <v>216943</v>
      </c>
      <c r="K98" s="142">
        <v>4200000</v>
      </c>
      <c r="L98" s="142">
        <v>216943</v>
      </c>
      <c r="M98" s="142">
        <v>100770296</v>
      </c>
      <c r="N98" s="142">
        <v>216943</v>
      </c>
      <c r="O98" s="142">
        <v>10847.150000000001</v>
      </c>
    </row>
    <row r="99" spans="1:15" x14ac:dyDescent="0.55000000000000004">
      <c r="A99" s="142" t="s">
        <v>741</v>
      </c>
      <c r="B99" s="142" t="s">
        <v>742</v>
      </c>
      <c r="C99" s="142" t="s">
        <v>555</v>
      </c>
      <c r="D99" s="142" t="s">
        <v>495</v>
      </c>
      <c r="E99" s="142" t="s">
        <v>545</v>
      </c>
      <c r="F99" s="142" t="s">
        <v>518</v>
      </c>
      <c r="G99" s="142"/>
      <c r="H99" s="142"/>
      <c r="I99" s="142">
        <v>0</v>
      </c>
      <c r="J99" s="142">
        <v>129375</v>
      </c>
      <c r="K99" s="142" t="e">
        <v>#REF!</v>
      </c>
      <c r="L99" s="142">
        <v>129375</v>
      </c>
      <c r="M99" s="142" t="e">
        <v>#REF!</v>
      </c>
      <c r="N99" s="142">
        <v>129375</v>
      </c>
      <c r="O99" s="142">
        <v>6468.75</v>
      </c>
    </row>
    <row r="100" spans="1:15" x14ac:dyDescent="0.55000000000000004">
      <c r="A100" s="142" t="s">
        <v>743</v>
      </c>
      <c r="B100" s="142" t="s">
        <v>744</v>
      </c>
      <c r="C100" s="142" t="s">
        <v>558</v>
      </c>
      <c r="D100" s="142" t="s">
        <v>495</v>
      </c>
      <c r="E100" s="142" t="s">
        <v>545</v>
      </c>
      <c r="F100" s="142" t="s">
        <v>518</v>
      </c>
      <c r="G100" s="142"/>
      <c r="H100" s="142"/>
      <c r="I100" s="142">
        <v>0</v>
      </c>
      <c r="J100" s="142">
        <v>160597</v>
      </c>
      <c r="K100" s="142" t="e">
        <v>#REF!</v>
      </c>
      <c r="L100" s="142">
        <v>160597</v>
      </c>
      <c r="M100" s="142">
        <v>346318</v>
      </c>
      <c r="N100" s="142">
        <v>160597</v>
      </c>
      <c r="O100" s="142">
        <v>8029.85</v>
      </c>
    </row>
    <row r="101" spans="1:15" x14ac:dyDescent="0.55000000000000004">
      <c r="A101" s="142" t="s">
        <v>745</v>
      </c>
      <c r="B101" s="142" t="s">
        <v>746</v>
      </c>
      <c r="C101" s="142" t="s">
        <v>555</v>
      </c>
      <c r="D101" s="142" t="s">
        <v>495</v>
      </c>
      <c r="E101" s="142" t="s">
        <v>545</v>
      </c>
      <c r="F101" s="142" t="s">
        <v>518</v>
      </c>
      <c r="G101" s="142"/>
      <c r="H101" s="142"/>
      <c r="I101" s="142">
        <v>0</v>
      </c>
      <c r="J101" s="142">
        <v>134719</v>
      </c>
      <c r="K101" s="142" t="e">
        <v>#REF!</v>
      </c>
      <c r="L101" s="142">
        <v>134719</v>
      </c>
      <c r="M101" s="142">
        <v>506915</v>
      </c>
      <c r="N101" s="142">
        <v>134719</v>
      </c>
      <c r="O101" s="142">
        <v>6735.9500000000007</v>
      </c>
    </row>
    <row r="102" spans="1:15" x14ac:dyDescent="0.55000000000000004">
      <c r="A102" s="142" t="s">
        <v>747</v>
      </c>
      <c r="B102" s="142" t="s">
        <v>748</v>
      </c>
      <c r="C102" s="142" t="s">
        <v>749</v>
      </c>
      <c r="D102" s="142" t="s">
        <v>495</v>
      </c>
      <c r="E102" s="142" t="s">
        <v>545</v>
      </c>
      <c r="F102" s="142" t="s">
        <v>518</v>
      </c>
      <c r="G102" s="142"/>
      <c r="H102" s="142"/>
      <c r="I102" s="142">
        <v>0</v>
      </c>
      <c r="J102" s="142">
        <v>531250</v>
      </c>
      <c r="K102" s="142" t="e">
        <v>#REF!</v>
      </c>
      <c r="L102" s="142">
        <v>531250</v>
      </c>
      <c r="M102" s="142" t="e">
        <v>#REF!</v>
      </c>
      <c r="N102" s="142">
        <v>437500</v>
      </c>
      <c r="O102" s="142">
        <v>21875</v>
      </c>
    </row>
    <row r="103" spans="1:15" x14ac:dyDescent="0.55000000000000004">
      <c r="A103" s="142" t="s">
        <v>750</v>
      </c>
      <c r="B103" s="142" t="s">
        <v>751</v>
      </c>
      <c r="C103" s="142" t="s">
        <v>749</v>
      </c>
      <c r="D103" s="142" t="s">
        <v>495</v>
      </c>
      <c r="E103" s="142" t="s">
        <v>545</v>
      </c>
      <c r="F103" s="142" t="s">
        <v>518</v>
      </c>
      <c r="G103" s="142"/>
      <c r="H103" s="142"/>
      <c r="I103" s="142">
        <v>0</v>
      </c>
      <c r="J103" s="142">
        <v>531875</v>
      </c>
      <c r="K103" s="142" t="e">
        <v>#REF!</v>
      </c>
      <c r="L103" s="142">
        <v>531875</v>
      </c>
      <c r="M103" s="142" t="e">
        <v>#REF!</v>
      </c>
      <c r="N103" s="142">
        <v>439250</v>
      </c>
      <c r="O103" s="142">
        <v>21962.5</v>
      </c>
    </row>
    <row r="104" spans="1:15" x14ac:dyDescent="0.55000000000000004">
      <c r="A104" s="142" t="s">
        <v>752</v>
      </c>
      <c r="B104" s="142" t="s">
        <v>753</v>
      </c>
      <c r="C104" s="142" t="s">
        <v>749</v>
      </c>
      <c r="D104" s="142" t="s">
        <v>495</v>
      </c>
      <c r="E104" s="142" t="s">
        <v>545</v>
      </c>
      <c r="F104" s="142" t="s">
        <v>518</v>
      </c>
      <c r="G104" s="142"/>
      <c r="H104" s="142"/>
      <c r="I104" s="142">
        <v>0</v>
      </c>
      <c r="J104" s="142">
        <v>629132</v>
      </c>
      <c r="K104" s="142">
        <v>60</v>
      </c>
      <c r="L104" s="142">
        <v>629132</v>
      </c>
      <c r="M104" s="142">
        <v>0</v>
      </c>
      <c r="N104" s="142">
        <v>556944</v>
      </c>
      <c r="O104" s="142">
        <v>27847.200000000001</v>
      </c>
    </row>
    <row r="105" spans="1:15" x14ac:dyDescent="0.55000000000000004">
      <c r="A105" s="142" t="s">
        <v>754</v>
      </c>
      <c r="B105" s="142" t="s">
        <v>755</v>
      </c>
      <c r="C105" s="142" t="s">
        <v>749</v>
      </c>
      <c r="D105" s="142" t="s">
        <v>495</v>
      </c>
      <c r="E105" s="142" t="s">
        <v>545</v>
      </c>
      <c r="F105" s="142" t="s">
        <v>518</v>
      </c>
      <c r="G105" s="142"/>
      <c r="H105" s="142"/>
      <c r="I105" s="142">
        <v>0</v>
      </c>
      <c r="J105" s="142">
        <v>608125</v>
      </c>
      <c r="K105" s="142" t="e">
        <v>#REF!</v>
      </c>
      <c r="L105" s="142">
        <v>608125</v>
      </c>
      <c r="M105" s="142">
        <v>137782793</v>
      </c>
      <c r="N105" s="142">
        <v>510250</v>
      </c>
      <c r="O105" s="142">
        <v>25512.5</v>
      </c>
    </row>
    <row r="106" spans="1:15" x14ac:dyDescent="0.55000000000000004">
      <c r="A106" s="142" t="s">
        <v>756</v>
      </c>
      <c r="B106" s="142" t="s">
        <v>757</v>
      </c>
      <c r="C106" s="142" t="s">
        <v>555</v>
      </c>
      <c r="D106" s="142" t="s">
        <v>495</v>
      </c>
      <c r="E106" s="142" t="s">
        <v>545</v>
      </c>
      <c r="F106" s="142" t="s">
        <v>518</v>
      </c>
      <c r="G106" s="142"/>
      <c r="H106" s="142"/>
      <c r="I106" s="142">
        <v>0</v>
      </c>
      <c r="J106" s="142">
        <v>709825</v>
      </c>
      <c r="K106" s="142" t="e">
        <v>#REF!</v>
      </c>
      <c r="L106" s="142">
        <v>709825</v>
      </c>
      <c r="M106" s="142" t="e">
        <v>#REF!</v>
      </c>
      <c r="N106" s="142">
        <v>709825</v>
      </c>
      <c r="O106" s="142">
        <v>35491.25</v>
      </c>
    </row>
    <row r="107" spans="1:15" x14ac:dyDescent="0.55000000000000004">
      <c r="A107" s="142" t="s">
        <v>758</v>
      </c>
      <c r="B107" s="142" t="s">
        <v>759</v>
      </c>
      <c r="C107" s="142" t="s">
        <v>558</v>
      </c>
      <c r="D107" s="142" t="s">
        <v>495</v>
      </c>
      <c r="E107" s="142" t="s">
        <v>545</v>
      </c>
      <c r="F107" s="142" t="s">
        <v>518</v>
      </c>
      <c r="G107" s="142"/>
      <c r="H107" s="142"/>
      <c r="I107" s="142">
        <v>0</v>
      </c>
      <c r="J107" s="142">
        <v>128522</v>
      </c>
      <c r="K107" s="142" t="e">
        <v>#REF!</v>
      </c>
      <c r="L107" s="142">
        <v>128522</v>
      </c>
      <c r="M107" s="142" t="e">
        <v>#REF!</v>
      </c>
      <c r="N107" s="142">
        <v>128522</v>
      </c>
      <c r="O107" s="142">
        <v>6426.1</v>
      </c>
    </row>
    <row r="108" spans="1:15" x14ac:dyDescent="0.55000000000000004">
      <c r="A108" s="142" t="s">
        <v>760</v>
      </c>
      <c r="B108" s="142" t="s">
        <v>761</v>
      </c>
      <c r="C108" s="142" t="s">
        <v>558</v>
      </c>
      <c r="D108" s="142" t="s">
        <v>495</v>
      </c>
      <c r="E108" s="142" t="s">
        <v>545</v>
      </c>
      <c r="F108" s="142" t="s">
        <v>518</v>
      </c>
      <c r="G108" s="142"/>
      <c r="H108" s="142"/>
      <c r="I108" s="142">
        <v>0</v>
      </c>
      <c r="J108" s="142">
        <v>107303</v>
      </c>
      <c r="K108" s="142" t="e">
        <v>#REF!</v>
      </c>
      <c r="L108" s="142">
        <v>107303</v>
      </c>
      <c r="M108" s="142" t="e">
        <v>#REF!</v>
      </c>
      <c r="N108" s="142">
        <v>107303</v>
      </c>
      <c r="O108" s="142">
        <v>5365.1500000000005</v>
      </c>
    </row>
    <row r="109" spans="1:15" x14ac:dyDescent="0.55000000000000004">
      <c r="A109" s="142" t="s">
        <v>762</v>
      </c>
      <c r="B109" s="142" t="s">
        <v>763</v>
      </c>
      <c r="C109" s="142" t="s">
        <v>555</v>
      </c>
      <c r="D109" s="142" t="s">
        <v>495</v>
      </c>
      <c r="E109" s="142" t="s">
        <v>545</v>
      </c>
      <c r="F109" s="142" t="s">
        <v>518</v>
      </c>
      <c r="G109" s="142"/>
      <c r="H109" s="142"/>
      <c r="I109" s="142">
        <v>0</v>
      </c>
      <c r="J109" s="142">
        <v>518603</v>
      </c>
      <c r="K109" s="142" t="e">
        <v>#REF!</v>
      </c>
      <c r="L109" s="142">
        <v>518603</v>
      </c>
      <c r="M109" s="142" t="e">
        <v>#REF!</v>
      </c>
      <c r="N109" s="142">
        <v>518603</v>
      </c>
      <c r="O109" s="142">
        <v>25930.15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31E9-6465-447E-B76F-50680116DD2D}">
  <dimension ref="A1:P15"/>
  <sheetViews>
    <sheetView workbookViewId="0">
      <selection activeCell="C18" sqref="C18"/>
    </sheetView>
  </sheetViews>
  <sheetFormatPr defaultColWidth="8.75" defaultRowHeight="16.5" x14ac:dyDescent="0.45"/>
  <cols>
    <col min="1" max="1" width="3.5" style="3" bestFit="1" customWidth="1"/>
    <col min="2" max="2" width="10.58203125" style="1" bestFit="1" customWidth="1"/>
    <col min="3" max="3" width="25.08203125" style="1" customWidth="1"/>
    <col min="4" max="4" width="6.75" style="1" customWidth="1"/>
    <col min="5" max="5" width="33.5" style="1" customWidth="1"/>
    <col min="6" max="6" width="7.5" style="1" hidden="1" customWidth="1"/>
    <col min="7" max="7" width="57.25" style="1" hidden="1" customWidth="1"/>
    <col min="8" max="8" width="14.75" style="1" customWidth="1"/>
    <col min="9" max="9" width="5.08203125" style="3" customWidth="1"/>
    <col min="10" max="10" width="14.08203125" style="1" customWidth="1"/>
    <col min="11" max="11" width="16.5" style="1" customWidth="1"/>
    <col min="12" max="12" width="13.25" style="1" customWidth="1"/>
    <col min="13" max="14" width="13.58203125" style="1" bestFit="1" customWidth="1"/>
    <col min="15" max="15" width="13" style="1" bestFit="1" customWidth="1"/>
    <col min="16" max="16" width="10.25" style="1" bestFit="1" customWidth="1"/>
    <col min="17" max="16384" width="8.75" style="1"/>
  </cols>
  <sheetData>
    <row r="1" spans="1:16" x14ac:dyDescent="0.45">
      <c r="B1" s="51" t="s">
        <v>764</v>
      </c>
      <c r="C1" s="51" t="s">
        <v>765</v>
      </c>
      <c r="D1" s="51"/>
      <c r="E1" s="51" t="s">
        <v>766</v>
      </c>
      <c r="F1" s="51" t="s">
        <v>767</v>
      </c>
      <c r="G1" s="51" t="s">
        <v>768</v>
      </c>
      <c r="H1" s="51" t="s">
        <v>769</v>
      </c>
      <c r="I1" s="51" t="s">
        <v>770</v>
      </c>
      <c r="J1" s="51" t="s">
        <v>771</v>
      </c>
      <c r="K1" s="51" t="s">
        <v>772</v>
      </c>
      <c r="L1" s="51" t="s">
        <v>360</v>
      </c>
      <c r="M1" s="51" t="s">
        <v>361</v>
      </c>
      <c r="N1" s="51" t="s">
        <v>362</v>
      </c>
      <c r="O1" s="51" t="s">
        <v>363</v>
      </c>
      <c r="P1" s="52" t="s">
        <v>773</v>
      </c>
    </row>
    <row r="2" spans="1:16" x14ac:dyDescent="0.45">
      <c r="A2" s="3">
        <v>1</v>
      </c>
      <c r="B2" s="46" t="s">
        <v>260</v>
      </c>
      <c r="C2" s="46" t="s">
        <v>256</v>
      </c>
      <c r="D2" s="61"/>
      <c r="E2" s="46" t="s">
        <v>300</v>
      </c>
      <c r="F2" s="46" t="s">
        <v>108</v>
      </c>
      <c r="G2" s="47" t="s">
        <v>774</v>
      </c>
      <c r="H2" s="47" t="s">
        <v>285</v>
      </c>
      <c r="I2" s="50" t="s">
        <v>225</v>
      </c>
      <c r="J2" s="48">
        <v>0</v>
      </c>
      <c r="K2" s="48">
        <v>4800000</v>
      </c>
      <c r="L2" s="49">
        <v>7100000</v>
      </c>
      <c r="M2" s="49">
        <v>7100000</v>
      </c>
      <c r="N2" s="49">
        <v>7100000</v>
      </c>
      <c r="O2" s="49">
        <v>7100000</v>
      </c>
      <c r="P2" s="53">
        <f t="shared" ref="P2:P15" si="0">SUM(J2:O2)</f>
        <v>33200000</v>
      </c>
    </row>
    <row r="3" spans="1:16" x14ac:dyDescent="0.45">
      <c r="A3" s="3">
        <v>2</v>
      </c>
      <c r="B3" s="54" t="s">
        <v>260</v>
      </c>
      <c r="C3" s="54" t="s">
        <v>261</v>
      </c>
      <c r="D3" s="54"/>
      <c r="E3" s="54" t="s">
        <v>267</v>
      </c>
      <c r="F3" s="54" t="s">
        <v>89</v>
      </c>
      <c r="G3" s="55" t="s">
        <v>89</v>
      </c>
      <c r="H3" s="55" t="s">
        <v>775</v>
      </c>
      <c r="I3" s="56" t="s">
        <v>9</v>
      </c>
      <c r="J3" s="57">
        <v>3200000</v>
      </c>
      <c r="K3" s="57">
        <v>2050000</v>
      </c>
      <c r="L3" s="58">
        <v>2050000</v>
      </c>
      <c r="M3" s="58">
        <v>2050000</v>
      </c>
      <c r="N3" s="58">
        <v>2050000</v>
      </c>
      <c r="O3" s="58">
        <v>2050000</v>
      </c>
      <c r="P3" s="59">
        <f t="shared" si="0"/>
        <v>13450000</v>
      </c>
    </row>
    <row r="4" spans="1:16" x14ac:dyDescent="0.45">
      <c r="A4" s="3">
        <v>3</v>
      </c>
      <c r="B4" s="54" t="s">
        <v>260</v>
      </c>
      <c r="C4" s="54" t="s">
        <v>289</v>
      </c>
      <c r="D4" s="54"/>
      <c r="E4" s="54" t="s">
        <v>290</v>
      </c>
      <c r="F4" s="54" t="s">
        <v>108</v>
      </c>
      <c r="G4" s="55" t="s">
        <v>776</v>
      </c>
      <c r="H4" s="55" t="s">
        <v>777</v>
      </c>
      <c r="I4" s="56" t="s">
        <v>9</v>
      </c>
      <c r="J4" s="57">
        <v>2000000</v>
      </c>
      <c r="K4" s="57">
        <v>2000000</v>
      </c>
      <c r="L4" s="58">
        <v>2000000</v>
      </c>
      <c r="M4" s="58">
        <v>2000000</v>
      </c>
      <c r="N4" s="58">
        <v>2000000</v>
      </c>
      <c r="O4" s="58">
        <v>2000000</v>
      </c>
      <c r="P4" s="59">
        <f t="shared" si="0"/>
        <v>12000000</v>
      </c>
    </row>
    <row r="5" spans="1:16" x14ac:dyDescent="0.45">
      <c r="A5" s="3">
        <v>4</v>
      </c>
      <c r="B5" s="46" t="s">
        <v>260</v>
      </c>
      <c r="C5" s="46" t="s">
        <v>317</v>
      </c>
      <c r="D5" s="61"/>
      <c r="E5" s="46" t="s">
        <v>318</v>
      </c>
      <c r="F5" s="46" t="s">
        <v>89</v>
      </c>
      <c r="G5" s="47" t="s">
        <v>778</v>
      </c>
      <c r="H5" s="47" t="s">
        <v>779</v>
      </c>
      <c r="I5" s="50" t="s">
        <v>225</v>
      </c>
      <c r="J5" s="48">
        <v>1950000</v>
      </c>
      <c r="K5" s="48">
        <v>1950000</v>
      </c>
      <c r="L5" s="49">
        <v>1950000</v>
      </c>
      <c r="M5" s="49">
        <v>1950000</v>
      </c>
      <c r="N5" s="49">
        <v>1950000</v>
      </c>
      <c r="O5" s="49">
        <v>1950000</v>
      </c>
      <c r="P5" s="53">
        <f t="shared" si="0"/>
        <v>11700000</v>
      </c>
    </row>
    <row r="6" spans="1:16" x14ac:dyDescent="0.45">
      <c r="A6" s="3">
        <v>5</v>
      </c>
      <c r="B6" s="46" t="s">
        <v>260</v>
      </c>
      <c r="C6" s="46" t="s">
        <v>325</v>
      </c>
      <c r="D6" s="62"/>
      <c r="E6" s="46" t="s">
        <v>326</v>
      </c>
      <c r="F6" s="46" t="s">
        <v>108</v>
      </c>
      <c r="G6" s="47" t="s">
        <v>780</v>
      </c>
      <c r="H6" s="47" t="s">
        <v>328</v>
      </c>
      <c r="I6" s="50" t="s">
        <v>13</v>
      </c>
      <c r="J6" s="48">
        <v>0</v>
      </c>
      <c r="K6" s="48">
        <v>2250000</v>
      </c>
      <c r="L6" s="49">
        <v>2250000</v>
      </c>
      <c r="M6" s="49">
        <v>2250000</v>
      </c>
      <c r="N6" s="49">
        <v>2250000</v>
      </c>
      <c r="O6" s="49">
        <v>2250000</v>
      </c>
      <c r="P6" s="53">
        <f t="shared" si="0"/>
        <v>11250000</v>
      </c>
    </row>
    <row r="7" spans="1:16" x14ac:dyDescent="0.45">
      <c r="A7" s="3">
        <v>6</v>
      </c>
      <c r="B7" s="46" t="s">
        <v>260</v>
      </c>
      <c r="C7" s="46" t="s">
        <v>282</v>
      </c>
      <c r="D7" s="62"/>
      <c r="E7" s="46" t="s">
        <v>283</v>
      </c>
      <c r="F7" s="46" t="s">
        <v>108</v>
      </c>
      <c r="G7" s="47" t="s">
        <v>781</v>
      </c>
      <c r="H7" s="47" t="s">
        <v>285</v>
      </c>
      <c r="I7" s="50" t="s">
        <v>11</v>
      </c>
      <c r="J7" s="48">
        <v>0</v>
      </c>
      <c r="K7" s="48">
        <v>0</v>
      </c>
      <c r="L7" s="49">
        <v>0</v>
      </c>
      <c r="M7" s="49">
        <v>3125000</v>
      </c>
      <c r="N7" s="49">
        <v>3125000</v>
      </c>
      <c r="O7" s="49">
        <v>3125000</v>
      </c>
      <c r="P7" s="53">
        <f t="shared" si="0"/>
        <v>9375000</v>
      </c>
    </row>
    <row r="8" spans="1:16" x14ac:dyDescent="0.45">
      <c r="A8" s="3">
        <v>7</v>
      </c>
      <c r="B8" s="46" t="s">
        <v>260</v>
      </c>
      <c r="C8" s="46" t="s">
        <v>782</v>
      </c>
      <c r="D8" s="46"/>
      <c r="E8" s="46" t="s">
        <v>335</v>
      </c>
      <c r="F8" s="46" t="s">
        <v>108</v>
      </c>
      <c r="G8" s="47" t="s">
        <v>783</v>
      </c>
      <c r="H8" s="47" t="s">
        <v>285</v>
      </c>
      <c r="I8" s="50" t="s">
        <v>97</v>
      </c>
      <c r="J8" s="48">
        <v>0</v>
      </c>
      <c r="K8" s="48">
        <v>1000000</v>
      </c>
      <c r="L8" s="49">
        <v>1000000</v>
      </c>
      <c r="M8" s="49">
        <v>1000000</v>
      </c>
      <c r="N8" s="49">
        <v>1000000</v>
      </c>
      <c r="O8" s="49">
        <v>1000000</v>
      </c>
      <c r="P8" s="53">
        <f t="shared" si="0"/>
        <v>5000000</v>
      </c>
    </row>
    <row r="9" spans="1:16" x14ac:dyDescent="0.45">
      <c r="A9" s="3">
        <v>8</v>
      </c>
      <c r="B9" s="46" t="s">
        <v>260</v>
      </c>
      <c r="C9" s="46" t="s">
        <v>278</v>
      </c>
      <c r="D9" s="61"/>
      <c r="E9" s="46" t="s">
        <v>279</v>
      </c>
      <c r="F9" s="46" t="s">
        <v>108</v>
      </c>
      <c r="G9" s="47" t="s">
        <v>784</v>
      </c>
      <c r="H9" s="47" t="s">
        <v>281</v>
      </c>
      <c r="I9" s="50" t="s">
        <v>10</v>
      </c>
      <c r="J9" s="48">
        <v>0</v>
      </c>
      <c r="K9" s="48">
        <v>0</v>
      </c>
      <c r="L9" s="49">
        <v>0</v>
      </c>
      <c r="M9" s="49">
        <v>1350000</v>
      </c>
      <c r="N9" s="49">
        <v>1350000</v>
      </c>
      <c r="O9" s="49">
        <v>1350000</v>
      </c>
      <c r="P9" s="53">
        <f t="shared" si="0"/>
        <v>4050000</v>
      </c>
    </row>
    <row r="10" spans="1:16" x14ac:dyDescent="0.45">
      <c r="A10" s="3">
        <v>9</v>
      </c>
      <c r="B10" s="46" t="s">
        <v>260</v>
      </c>
      <c r="C10" s="46" t="s">
        <v>272</v>
      </c>
      <c r="D10" s="62"/>
      <c r="E10" s="46" t="s">
        <v>276</v>
      </c>
      <c r="F10" s="46" t="s">
        <v>108</v>
      </c>
      <c r="G10" s="47" t="s">
        <v>375</v>
      </c>
      <c r="H10" s="47" t="s">
        <v>264</v>
      </c>
      <c r="I10" s="50" t="s">
        <v>11</v>
      </c>
      <c r="J10" s="48"/>
      <c r="K10" s="48">
        <v>500000</v>
      </c>
      <c r="L10" s="49">
        <v>1000000</v>
      </c>
      <c r="M10" s="49">
        <v>1000000</v>
      </c>
      <c r="N10" s="49">
        <v>1000000</v>
      </c>
      <c r="O10" s="49">
        <v>500000</v>
      </c>
      <c r="P10" s="53">
        <f t="shared" si="0"/>
        <v>4000000</v>
      </c>
    </row>
    <row r="11" spans="1:16" x14ac:dyDescent="0.45">
      <c r="A11" s="3">
        <v>10</v>
      </c>
      <c r="B11" s="46" t="s">
        <v>260</v>
      </c>
      <c r="C11" s="46" t="s">
        <v>286</v>
      </c>
      <c r="D11" s="61"/>
      <c r="E11" s="46" t="s">
        <v>287</v>
      </c>
      <c r="F11" s="46" t="s">
        <v>89</v>
      </c>
      <c r="G11" s="47" t="s">
        <v>785</v>
      </c>
      <c r="H11" s="47" t="s">
        <v>285</v>
      </c>
      <c r="I11" s="50" t="s">
        <v>10</v>
      </c>
      <c r="J11" s="48">
        <v>875000</v>
      </c>
      <c r="K11" s="48">
        <v>1750000</v>
      </c>
      <c r="L11" s="49">
        <v>875000</v>
      </c>
      <c r="M11" s="49">
        <v>0</v>
      </c>
      <c r="N11" s="49">
        <v>0</v>
      </c>
      <c r="O11" s="49">
        <v>0</v>
      </c>
      <c r="P11" s="53">
        <f t="shared" si="0"/>
        <v>3500000</v>
      </c>
    </row>
    <row r="12" spans="1:16" x14ac:dyDescent="0.45">
      <c r="A12" s="3">
        <v>11</v>
      </c>
      <c r="B12" s="46" t="s">
        <v>260</v>
      </c>
      <c r="C12" s="46" t="s">
        <v>329</v>
      </c>
      <c r="D12" s="61"/>
      <c r="E12" s="46" t="s">
        <v>330</v>
      </c>
      <c r="F12" s="46" t="s">
        <v>89</v>
      </c>
      <c r="G12" s="47" t="s">
        <v>786</v>
      </c>
      <c r="H12" s="47" t="s">
        <v>331</v>
      </c>
      <c r="I12" s="50" t="s">
        <v>13</v>
      </c>
      <c r="J12" s="48">
        <v>0</v>
      </c>
      <c r="K12" s="48">
        <v>1100000</v>
      </c>
      <c r="L12" s="49">
        <v>1100000</v>
      </c>
      <c r="M12" s="49">
        <v>1100000</v>
      </c>
      <c r="N12" s="49"/>
      <c r="O12" s="49"/>
      <c r="P12" s="53">
        <f t="shared" si="0"/>
        <v>3300000</v>
      </c>
    </row>
    <row r="13" spans="1:16" x14ac:dyDescent="0.45">
      <c r="A13" s="3">
        <v>12</v>
      </c>
      <c r="B13" s="46" t="s">
        <v>260</v>
      </c>
      <c r="C13" s="46" t="s">
        <v>317</v>
      </c>
      <c r="D13" s="61"/>
      <c r="E13" s="46" t="s">
        <v>320</v>
      </c>
      <c r="F13" s="46" t="s">
        <v>89</v>
      </c>
      <c r="G13" s="47" t="s">
        <v>787</v>
      </c>
      <c r="H13" s="47" t="s">
        <v>264</v>
      </c>
      <c r="I13" s="50" t="s">
        <v>225</v>
      </c>
      <c r="J13" s="48">
        <v>925000</v>
      </c>
      <c r="K13" s="48">
        <v>925000</v>
      </c>
      <c r="L13" s="49">
        <v>925000</v>
      </c>
      <c r="M13" s="49"/>
      <c r="N13" s="49"/>
      <c r="O13" s="49"/>
      <c r="P13" s="53">
        <f t="shared" si="0"/>
        <v>2775000</v>
      </c>
    </row>
    <row r="14" spans="1:16" x14ac:dyDescent="0.45">
      <c r="A14" s="3">
        <v>13</v>
      </c>
      <c r="B14" s="54" t="s">
        <v>260</v>
      </c>
      <c r="C14" s="54" t="s">
        <v>240</v>
      </c>
      <c r="D14" s="54"/>
      <c r="E14" s="54" t="s">
        <v>788</v>
      </c>
      <c r="F14" s="54" t="s">
        <v>108</v>
      </c>
      <c r="G14" s="55" t="s">
        <v>789</v>
      </c>
      <c r="H14" s="55" t="s">
        <v>297</v>
      </c>
      <c r="I14" s="56" t="s">
        <v>9</v>
      </c>
      <c r="J14" s="57"/>
      <c r="K14" s="57">
        <v>2764000</v>
      </c>
      <c r="L14" s="58"/>
      <c r="M14" s="58">
        <v>0</v>
      </c>
      <c r="N14" s="58">
        <v>0</v>
      </c>
      <c r="O14" s="58">
        <v>0</v>
      </c>
      <c r="P14" s="59">
        <f t="shared" si="0"/>
        <v>2764000</v>
      </c>
    </row>
    <row r="15" spans="1:16" x14ac:dyDescent="0.45">
      <c r="A15" s="3">
        <v>14</v>
      </c>
      <c r="B15" s="46" t="s">
        <v>260</v>
      </c>
      <c r="C15" s="46" t="s">
        <v>261</v>
      </c>
      <c r="D15" s="61"/>
      <c r="E15" s="46" t="s">
        <v>262</v>
      </c>
      <c r="F15" s="46" t="s">
        <v>89</v>
      </c>
      <c r="G15" s="47" t="s">
        <v>790</v>
      </c>
      <c r="H15" s="47" t="s">
        <v>264</v>
      </c>
      <c r="I15" s="50" t="s">
        <v>9</v>
      </c>
      <c r="J15" s="60">
        <v>250000</v>
      </c>
      <c r="K15" s="48">
        <v>250000</v>
      </c>
      <c r="L15" s="49">
        <v>0</v>
      </c>
      <c r="M15" s="49">
        <v>0</v>
      </c>
      <c r="N15" s="49">
        <v>0</v>
      </c>
      <c r="O15" s="49">
        <v>0</v>
      </c>
      <c r="P15" s="53">
        <f t="shared" si="0"/>
        <v>500000</v>
      </c>
    </row>
  </sheetData>
  <sortState xmlns:xlrd2="http://schemas.microsoft.com/office/spreadsheetml/2017/richdata2" ref="B2:P15">
    <sortCondition descending="1" ref="P2:P1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FF4BDAD00E9548984410030E04B795" ma:contentTypeVersion="17" ma:contentTypeDescription="Create a new document." ma:contentTypeScope="" ma:versionID="e5e4ba5fb6539483d77ac3ccba3e3783">
  <xsd:schema xmlns:xsd="http://www.w3.org/2001/XMLSchema" xmlns:xs="http://www.w3.org/2001/XMLSchema" xmlns:p="http://schemas.microsoft.com/office/2006/metadata/properties" xmlns:ns1="http://schemas.microsoft.com/sharepoint/v3" xmlns:ns2="353ed347-4517-47bc-953e-ffa5849cc72a" xmlns:ns3="8a8e3356-0641-463c-8a7f-2311444dacb7" targetNamespace="http://schemas.microsoft.com/office/2006/metadata/properties" ma:root="true" ma:fieldsID="91d7b97792a29edf41fa8e7b952a3421" ns1:_="" ns2:_="" ns3:_="">
    <xsd:import namespace="http://schemas.microsoft.com/sharepoint/v3"/>
    <xsd:import namespace="353ed347-4517-47bc-953e-ffa5849cc72a"/>
    <xsd:import namespace="8a8e3356-0641-463c-8a7f-2311444dac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ed347-4517-47bc-953e-ffa5849cc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e3356-0641-463c-8a7f-2311444dacb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95c6347-c54d-4b6e-ac3b-396540676224}" ma:internalName="TaxCatchAll" ma:showField="CatchAllData" ma:web="8a8e3356-0641-463c-8a7f-2311444dac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8e3356-0641-463c-8a7f-2311444dacb7" xsi:nil="true"/>
    <lcf76f155ced4ddcb4097134ff3c332f xmlns="353ed347-4517-47bc-953e-ffa5849cc72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9951221-7DB8-456D-9AD7-51D2B46199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E3ED3B-E1F7-408E-959B-A28C371ED5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3ed347-4517-47bc-953e-ffa5849cc72a"/>
    <ds:schemaRef ds:uri="8a8e3356-0641-463c-8a7f-2311444dac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7A6F65-9195-4FEE-812E-FAB2CA2EE9FF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8a8e3356-0641-463c-8a7f-2311444dacb7"/>
    <ds:schemaRef ds:uri="http://schemas.microsoft.com/sharepoint/v3"/>
    <ds:schemaRef ds:uri="353ed347-4517-47bc-953e-ffa5849cc72a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まとめ</vt:lpstr>
      <vt:lpstr>フォロー状況</vt:lpstr>
      <vt:lpstr>FY26フォロー状況</vt:lpstr>
      <vt:lpstr>Plan1.2まとめ</vt:lpstr>
      <vt:lpstr>Plan1.2</vt:lpstr>
      <vt:lpstr>250903</vt:lpstr>
      <vt:lpstr>チーム別PreSales</vt:lpstr>
      <vt:lpstr>PreSales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Seta Hiroyuki</dc:creator>
  <cp:keywords/>
  <dc:description/>
  <cp:lastModifiedBy>Tetsuya Yamaki</cp:lastModifiedBy>
  <cp:revision/>
  <dcterms:created xsi:type="dcterms:W3CDTF">2015-06-05T18:17:20Z</dcterms:created>
  <dcterms:modified xsi:type="dcterms:W3CDTF">2025-12-16T04:42:37Z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0x010100D2FF4BDAD00E9548984410030E04B795</vt:lpwstr>
  </property>
  <property fmtid="{D5CDD505-2E9C-101B-9397-08002B2CF9AE}" pid="3" name="MediaServiceImageTags">
    <vt:lpwstr/>
  </property>
</Properties>
</file>